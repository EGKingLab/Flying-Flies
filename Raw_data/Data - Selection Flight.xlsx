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missouri.sharepoint.com/sites/MUCASBIOLSCIKingLab-Ogrp/Shared Documents/General/Lab_Data/Flying_Flies/FF_Flight_Performance/"/>
    </mc:Choice>
  </mc:AlternateContent>
  <xr:revisionPtr revIDLastSave="3426" documentId="11_545FC2ABE9F2708C005B6933A039EE445AC6018E" xr6:coauthVersionLast="47" xr6:coauthVersionMax="47" xr10:uidLastSave="{D75B4BC6-23CC-CC49-877F-CF4138E8C2B9}"/>
  <bookViews>
    <workbookView xWindow="240" yWindow="500" windowWidth="46260" windowHeight="3278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82" i="1" l="1"/>
  <c r="AM81" i="1"/>
  <c r="AM80" i="1"/>
  <c r="AM79" i="1"/>
  <c r="AM78" i="1"/>
  <c r="AM77" i="1"/>
  <c r="AM76" i="1"/>
  <c r="AM75" i="1"/>
  <c r="AM74" i="1"/>
  <c r="AM73" i="1"/>
  <c r="AM72" i="1"/>
  <c r="AM71" i="1"/>
  <c r="AM70" i="1"/>
  <c r="AM69" i="1"/>
  <c r="AM68" i="1"/>
  <c r="AM67" i="1"/>
  <c r="AM62" i="1"/>
  <c r="AM61" i="1"/>
  <c r="AM66" i="1"/>
  <c r="AM65" i="1"/>
  <c r="AM64" i="1"/>
  <c r="AM63" i="1"/>
  <c r="AM60" i="1"/>
  <c r="AM59" i="1"/>
  <c r="AM58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2" i="1"/>
</calcChain>
</file>

<file path=xl/sharedStrings.xml><?xml version="1.0" encoding="utf-8"?>
<sst xmlns="http://schemas.openxmlformats.org/spreadsheetml/2006/main" count="206" uniqueCount="58">
  <si>
    <t>Month</t>
  </si>
  <si>
    <t>Day</t>
  </si>
  <si>
    <t>Year</t>
  </si>
  <si>
    <t>Line</t>
  </si>
  <si>
    <t>Generation</t>
  </si>
  <si>
    <t>Run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</si>
  <si>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</si>
  <si>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</si>
  <si>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</si>
  <si>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</si>
  <si>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</si>
  <si>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</si>
  <si>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</si>
  <si>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</si>
  <si>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</si>
  <si>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</si>
  <si>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</si>
  <si>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</si>
  <si>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</si>
  <si>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</si>
  <si>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</si>
  <si>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</si>
  <si>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</si>
  <si>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</si>
  <si>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</si>
  <si>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</si>
  <si>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</si>
  <si>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</si>
  <si>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</si>
  <si>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</si>
  <si>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</si>
  <si>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</si>
  <si>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 xml:space="preserve">C26 </t>
  </si>
  <si>
    <t>C27</t>
  </si>
  <si>
    <t>C28</t>
  </si>
  <si>
    <t>C29</t>
  </si>
  <si>
    <t>C30</t>
  </si>
  <si>
    <t>C31</t>
  </si>
  <si>
    <t>Sum</t>
  </si>
  <si>
    <t>Notes</t>
  </si>
  <si>
    <t>FP1</t>
  </si>
  <si>
    <t>G1</t>
  </si>
  <si>
    <t>FP2</t>
  </si>
  <si>
    <t>FP3</t>
  </si>
  <si>
    <t>FP4</t>
  </si>
  <si>
    <t>G2</t>
  </si>
  <si>
    <t>G3</t>
  </si>
  <si>
    <t>G4</t>
  </si>
  <si>
    <t>Fan got stuck for first 10 min, ran for an additional 10 mins but the data should be voided</t>
  </si>
  <si>
    <t>1;1</t>
  </si>
  <si>
    <t>Run1 ran 15 vials from Collection 1, then Run1:2 ran 15 vials from C2</t>
  </si>
  <si>
    <t>1;2</t>
  </si>
  <si>
    <t>G5</t>
  </si>
  <si>
    <t>G6</t>
  </si>
  <si>
    <t>G7</t>
  </si>
  <si>
    <t>G8</t>
  </si>
  <si>
    <t>G9</t>
  </si>
  <si>
    <t>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</si>
</sst>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20" fontId="0" fillId="4" borderId="0" xfId="0" applyNumberFormat="1" applyFill="1" applyAlignment="1">
      <alignment horizontal="right" vertical="center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82"/>
  <sheetViews>
    <sheetView tabSelected="1" workbookViewId="0">
      <pane ySplit="1" topLeftCell="A2" activePane="bottomLeft" state="frozen"/>
      <selection pane="bottomLeft" activeCell="G17" sqref="G17"/>
    </sheetView>
  </sheetViews>
  <sheetFormatPr baseColWidth="10" defaultColWidth="8.83203125" defaultRowHeight="15" x14ac:dyDescent="0.2"/>
  <cols>
    <col min="5" max="5" width="11.1640625" bestFit="1" customWidth="1"/>
    <col min="40" max="40" width="60.6640625" customWidth="1"/>
  </cols>
  <sheetData>
    <row r="1" spans="1:50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3" t="s">
        <v>39</v>
      </c>
    </row>
    <row r="2" spans="1:50" x14ac:dyDescent="0.2">
      <c r="A2" s="4">
        <v>3</v>
      </c>
      <c r="B2" s="4">
        <v>14</v>
      </c>
      <c r="C2" s="4">
        <v>2023</v>
      </c>
      <c r="D2" s="4" t="s">
        <v>40</v>
      </c>
      <c r="E2" s="4" t="s">
        <v>41</v>
      </c>
      <c r="F2" s="4">
        <v>1</v>
      </c>
      <c r="G2" s="4">
        <v>804</v>
      </c>
      <c r="H2" s="4">
        <v>94</v>
      </c>
      <c r="I2" s="4">
        <v>13</v>
      </c>
      <c r="J2" s="4">
        <v>4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1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f>SUM(G2:AL2)</f>
        <v>916</v>
      </c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</row>
    <row r="3" spans="1:50" x14ac:dyDescent="0.2">
      <c r="A3" s="4">
        <v>3</v>
      </c>
      <c r="B3" s="4">
        <v>14</v>
      </c>
      <c r="C3" s="4">
        <v>2023</v>
      </c>
      <c r="D3" s="4" t="s">
        <v>40</v>
      </c>
      <c r="E3" s="4" t="s">
        <v>41</v>
      </c>
      <c r="F3" s="4">
        <v>2</v>
      </c>
      <c r="G3" s="4">
        <v>612</v>
      </c>
      <c r="H3" s="4">
        <v>124</v>
      </c>
      <c r="I3" s="4">
        <v>51</v>
      </c>
      <c r="J3" s="4">
        <v>22</v>
      </c>
      <c r="K3" s="4">
        <v>17</v>
      </c>
      <c r="L3" s="4">
        <v>8</v>
      </c>
      <c r="M3" s="4">
        <v>1</v>
      </c>
      <c r="N3" s="4">
        <v>8</v>
      </c>
      <c r="O3" s="4">
        <v>9</v>
      </c>
      <c r="P3" s="4">
        <v>10</v>
      </c>
      <c r="Q3" s="4">
        <v>3</v>
      </c>
      <c r="R3" s="4">
        <v>6</v>
      </c>
      <c r="S3" s="4">
        <v>3</v>
      </c>
      <c r="T3" s="4">
        <v>2</v>
      </c>
      <c r="U3" s="4">
        <v>0</v>
      </c>
      <c r="V3" s="4">
        <v>2</v>
      </c>
      <c r="W3" s="4">
        <v>2</v>
      </c>
      <c r="X3" s="4">
        <v>0</v>
      </c>
      <c r="Y3" s="4">
        <v>1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f t="shared" ref="AM3:AM57" si="0">SUM(G3:AL3)</f>
        <v>881</v>
      </c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</row>
    <row r="4" spans="1:50" x14ac:dyDescent="0.2">
      <c r="A4" s="5">
        <v>3</v>
      </c>
      <c r="B4" s="5">
        <v>15</v>
      </c>
      <c r="C4" s="5">
        <v>2023</v>
      </c>
      <c r="D4" s="5" t="s">
        <v>42</v>
      </c>
      <c r="E4" s="4" t="s">
        <v>41</v>
      </c>
      <c r="F4" s="4">
        <v>1</v>
      </c>
      <c r="G4" s="4">
        <v>772</v>
      </c>
      <c r="H4" s="4">
        <v>196</v>
      </c>
      <c r="I4" s="4">
        <v>23</v>
      </c>
      <c r="J4" s="4">
        <v>4</v>
      </c>
      <c r="K4" s="4">
        <v>2</v>
      </c>
      <c r="L4" s="4">
        <v>0</v>
      </c>
      <c r="M4" s="4">
        <v>2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1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f t="shared" si="0"/>
        <v>1000</v>
      </c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</row>
    <row r="5" spans="1:50" x14ac:dyDescent="0.2">
      <c r="A5" s="5">
        <v>3</v>
      </c>
      <c r="B5" s="5">
        <v>15</v>
      </c>
      <c r="C5" s="5">
        <v>2023</v>
      </c>
      <c r="D5" s="5" t="s">
        <v>42</v>
      </c>
      <c r="E5" s="4" t="s">
        <v>41</v>
      </c>
      <c r="F5" s="4">
        <v>2</v>
      </c>
      <c r="G5" s="4">
        <v>937</v>
      </c>
      <c r="H5" s="4">
        <v>170</v>
      </c>
      <c r="I5" s="4">
        <v>56</v>
      </c>
      <c r="J5" s="4">
        <v>19</v>
      </c>
      <c r="K5" s="4">
        <v>8</v>
      </c>
      <c r="L5" s="4">
        <v>10</v>
      </c>
      <c r="M5" s="4">
        <v>6</v>
      </c>
      <c r="N5" s="4">
        <v>1</v>
      </c>
      <c r="O5" s="4">
        <v>1</v>
      </c>
      <c r="P5" s="4">
        <v>1</v>
      </c>
      <c r="Q5" s="4">
        <v>2</v>
      </c>
      <c r="R5" s="4">
        <v>3</v>
      </c>
      <c r="S5" s="4">
        <v>0</v>
      </c>
      <c r="T5" s="4">
        <v>0</v>
      </c>
      <c r="U5" s="4">
        <v>2</v>
      </c>
      <c r="V5" s="4">
        <v>1</v>
      </c>
      <c r="W5" s="4">
        <v>0</v>
      </c>
      <c r="X5" s="4">
        <v>1</v>
      </c>
      <c r="Y5" s="4">
        <v>1</v>
      </c>
      <c r="Z5" s="4">
        <v>0</v>
      </c>
      <c r="AA5" s="4">
        <v>0</v>
      </c>
      <c r="AB5" s="4">
        <v>0</v>
      </c>
      <c r="AC5" s="4">
        <v>1</v>
      </c>
      <c r="AD5" s="4">
        <v>0</v>
      </c>
      <c r="AE5" s="4">
        <v>1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f t="shared" si="0"/>
        <v>1221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spans="1:50" x14ac:dyDescent="0.2">
      <c r="A6" s="4">
        <v>3</v>
      </c>
      <c r="B6" s="4">
        <v>16</v>
      </c>
      <c r="C6" s="4">
        <v>2023</v>
      </c>
      <c r="D6" s="4" t="s">
        <v>43</v>
      </c>
      <c r="E6" s="4" t="s">
        <v>41</v>
      </c>
      <c r="F6" s="4">
        <v>1</v>
      </c>
      <c r="G6" s="5">
        <v>1805</v>
      </c>
      <c r="H6" s="5">
        <v>171</v>
      </c>
      <c r="I6" s="5">
        <v>29</v>
      </c>
      <c r="J6" s="5">
        <v>11</v>
      </c>
      <c r="K6" s="5">
        <v>5</v>
      </c>
      <c r="L6" s="5">
        <v>4</v>
      </c>
      <c r="M6" s="5">
        <v>2</v>
      </c>
      <c r="N6" s="5">
        <v>1</v>
      </c>
      <c r="O6" s="5">
        <v>0</v>
      </c>
      <c r="P6" s="5">
        <v>0</v>
      </c>
      <c r="Q6" s="5">
        <v>2</v>
      </c>
      <c r="R6" s="5">
        <v>2</v>
      </c>
      <c r="S6" s="5">
        <v>2</v>
      </c>
      <c r="T6" s="5">
        <v>0</v>
      </c>
      <c r="U6" s="5">
        <v>0</v>
      </c>
      <c r="V6" s="5">
        <v>0</v>
      </c>
      <c r="W6" s="5">
        <v>1</v>
      </c>
      <c r="X6" s="5">
        <v>2</v>
      </c>
      <c r="Y6" s="5">
        <v>0</v>
      </c>
      <c r="Z6" s="5">
        <v>1</v>
      </c>
      <c r="AA6" s="5">
        <v>0</v>
      </c>
      <c r="AB6" s="5">
        <v>0</v>
      </c>
      <c r="AC6" s="5">
        <v>1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4">
        <f t="shared" si="0"/>
        <v>2039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</row>
    <row r="7" spans="1:50" x14ac:dyDescent="0.2">
      <c r="A7" s="4">
        <v>3</v>
      </c>
      <c r="B7" s="4">
        <v>16</v>
      </c>
      <c r="C7" s="4">
        <v>2023</v>
      </c>
      <c r="D7" s="4" t="s">
        <v>43</v>
      </c>
      <c r="E7" s="4" t="s">
        <v>41</v>
      </c>
      <c r="F7" s="4">
        <v>2</v>
      </c>
      <c r="G7" s="5">
        <v>1507</v>
      </c>
      <c r="H7" s="5">
        <v>224</v>
      </c>
      <c r="I7" s="5">
        <v>43</v>
      </c>
      <c r="J7" s="5">
        <v>26</v>
      </c>
      <c r="K7" s="5">
        <v>8</v>
      </c>
      <c r="L7" s="5">
        <v>9</v>
      </c>
      <c r="M7" s="5">
        <v>6</v>
      </c>
      <c r="N7" s="5">
        <v>5</v>
      </c>
      <c r="O7" s="5">
        <v>2</v>
      </c>
      <c r="P7" s="5">
        <v>2</v>
      </c>
      <c r="Q7" s="5">
        <v>2</v>
      </c>
      <c r="R7" s="5">
        <v>0</v>
      </c>
      <c r="S7" s="5">
        <v>0</v>
      </c>
      <c r="T7" s="5">
        <v>1</v>
      </c>
      <c r="U7" s="5">
        <v>1</v>
      </c>
      <c r="V7" s="5">
        <v>0</v>
      </c>
      <c r="W7" s="5">
        <v>2</v>
      </c>
      <c r="X7" s="5">
        <v>1</v>
      </c>
      <c r="Y7" s="5">
        <v>1</v>
      </c>
      <c r="Z7" s="5">
        <v>1</v>
      </c>
      <c r="AA7" s="5">
        <v>2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1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4">
        <f t="shared" si="0"/>
        <v>1844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</row>
    <row r="8" spans="1:50" x14ac:dyDescent="0.2">
      <c r="A8" s="4">
        <v>3</v>
      </c>
      <c r="B8" s="4">
        <v>17</v>
      </c>
      <c r="C8" s="4">
        <v>2023</v>
      </c>
      <c r="D8" s="4" t="s">
        <v>44</v>
      </c>
      <c r="E8" s="4" t="s">
        <v>41</v>
      </c>
      <c r="F8" s="4">
        <v>1</v>
      </c>
      <c r="G8" s="4">
        <v>1034</v>
      </c>
      <c r="H8" s="4">
        <v>119</v>
      </c>
      <c r="I8" s="4">
        <v>14</v>
      </c>
      <c r="J8" s="4">
        <v>3</v>
      </c>
      <c r="K8" s="4">
        <v>0</v>
      </c>
      <c r="L8" s="4">
        <v>0</v>
      </c>
      <c r="M8" s="4">
        <v>1</v>
      </c>
      <c r="N8" s="4">
        <v>0</v>
      </c>
      <c r="O8" s="4">
        <v>0</v>
      </c>
      <c r="P8" s="4">
        <v>0</v>
      </c>
      <c r="Q8" s="4">
        <v>0</v>
      </c>
      <c r="R8" s="4">
        <v>2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1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f t="shared" si="0"/>
        <v>1174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</row>
    <row r="9" spans="1:50" x14ac:dyDescent="0.2">
      <c r="A9" s="4">
        <v>3</v>
      </c>
      <c r="B9" s="4">
        <v>17</v>
      </c>
      <c r="C9" s="4">
        <v>2023</v>
      </c>
      <c r="D9" s="4" t="s">
        <v>44</v>
      </c>
      <c r="E9" s="4" t="s">
        <v>41</v>
      </c>
      <c r="F9" s="4">
        <v>2</v>
      </c>
      <c r="G9" s="4">
        <v>911</v>
      </c>
      <c r="H9" s="4">
        <v>134</v>
      </c>
      <c r="I9" s="4">
        <v>32</v>
      </c>
      <c r="J9" s="4">
        <v>25</v>
      </c>
      <c r="K9" s="4">
        <v>5</v>
      </c>
      <c r="L9" s="4">
        <v>8</v>
      </c>
      <c r="M9" s="4">
        <v>7</v>
      </c>
      <c r="N9" s="4">
        <v>2</v>
      </c>
      <c r="O9" s="4">
        <v>1</v>
      </c>
      <c r="P9" s="4">
        <v>1</v>
      </c>
      <c r="Q9" s="4">
        <v>0</v>
      </c>
      <c r="R9" s="4">
        <v>1</v>
      </c>
      <c r="S9" s="4">
        <v>1</v>
      </c>
      <c r="T9" s="4">
        <v>0</v>
      </c>
      <c r="U9" s="4">
        <v>1</v>
      </c>
      <c r="V9" s="4">
        <v>0</v>
      </c>
      <c r="W9" s="4">
        <v>0</v>
      </c>
      <c r="X9" s="4">
        <v>0</v>
      </c>
      <c r="Y9" s="4">
        <v>2</v>
      </c>
      <c r="Z9" s="4">
        <v>0</v>
      </c>
      <c r="AA9" s="4">
        <v>0</v>
      </c>
      <c r="AB9" s="4">
        <v>1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f t="shared" si="0"/>
        <v>1132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</row>
    <row r="10" spans="1:50" x14ac:dyDescent="0.2">
      <c r="A10" s="4">
        <v>4</v>
      </c>
      <c r="B10" s="4">
        <v>4</v>
      </c>
      <c r="C10" s="4">
        <v>2023</v>
      </c>
      <c r="D10" s="4" t="s">
        <v>40</v>
      </c>
      <c r="E10" s="4" t="s">
        <v>45</v>
      </c>
      <c r="F10" s="4">
        <v>1</v>
      </c>
      <c r="G10" s="4">
        <v>1648</v>
      </c>
      <c r="H10" s="4">
        <v>462</v>
      </c>
      <c r="I10" s="4">
        <v>37</v>
      </c>
      <c r="J10" s="4">
        <v>9</v>
      </c>
      <c r="K10" s="4">
        <v>4</v>
      </c>
      <c r="L10" s="4">
        <v>2</v>
      </c>
      <c r="M10" s="4">
        <v>6</v>
      </c>
      <c r="N10" s="4">
        <v>0</v>
      </c>
      <c r="O10" s="4">
        <v>1</v>
      </c>
      <c r="P10" s="4">
        <v>2</v>
      </c>
      <c r="Q10" s="4">
        <v>0</v>
      </c>
      <c r="R10" s="4">
        <v>0</v>
      </c>
      <c r="S10" s="4">
        <v>0</v>
      </c>
      <c r="T10" s="4">
        <v>1</v>
      </c>
      <c r="U10" s="4">
        <v>4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1</v>
      </c>
      <c r="AC10" s="4">
        <v>0</v>
      </c>
      <c r="AD10" s="4">
        <v>1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f t="shared" si="0"/>
        <v>2178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</row>
    <row r="11" spans="1:50" x14ac:dyDescent="0.2">
      <c r="A11" s="4">
        <v>4</v>
      </c>
      <c r="B11" s="4">
        <v>4</v>
      </c>
      <c r="C11" s="4">
        <v>2023</v>
      </c>
      <c r="D11" s="4" t="s">
        <v>40</v>
      </c>
      <c r="E11" s="4" t="s">
        <v>45</v>
      </c>
      <c r="F11" s="4">
        <v>2</v>
      </c>
      <c r="G11" s="4">
        <v>1707</v>
      </c>
      <c r="H11" s="4">
        <v>221</v>
      </c>
      <c r="I11" s="4">
        <v>43</v>
      </c>
      <c r="J11" s="4">
        <v>13</v>
      </c>
      <c r="K11" s="4">
        <v>8</v>
      </c>
      <c r="L11" s="4">
        <v>4</v>
      </c>
      <c r="M11" s="4">
        <v>2</v>
      </c>
      <c r="N11" s="4">
        <v>0</v>
      </c>
      <c r="O11" s="4">
        <v>2</v>
      </c>
      <c r="P11" s="4">
        <v>0</v>
      </c>
      <c r="Q11" s="4">
        <v>2</v>
      </c>
      <c r="R11" s="4">
        <v>2</v>
      </c>
      <c r="S11" s="4">
        <v>0</v>
      </c>
      <c r="T11" s="4">
        <v>0</v>
      </c>
      <c r="U11" s="4">
        <v>2</v>
      </c>
      <c r="V11" s="4">
        <v>0</v>
      </c>
      <c r="W11" s="4">
        <v>0</v>
      </c>
      <c r="X11" s="4">
        <v>0</v>
      </c>
      <c r="Y11" s="4">
        <v>0</v>
      </c>
      <c r="Z11" s="4">
        <v>1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1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f t="shared" si="0"/>
        <v>2008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</row>
    <row r="12" spans="1:50" x14ac:dyDescent="0.2">
      <c r="A12" s="4">
        <v>4</v>
      </c>
      <c r="B12" s="4">
        <v>5</v>
      </c>
      <c r="C12" s="4">
        <v>2023</v>
      </c>
      <c r="D12" s="5" t="s">
        <v>42</v>
      </c>
      <c r="E12" s="4" t="s">
        <v>45</v>
      </c>
      <c r="F12" s="4">
        <v>1</v>
      </c>
      <c r="G12" s="4">
        <v>1263</v>
      </c>
      <c r="H12" s="4">
        <v>226</v>
      </c>
      <c r="I12" s="4">
        <v>37</v>
      </c>
      <c r="J12" s="4">
        <v>15</v>
      </c>
      <c r="K12" s="4">
        <v>8</v>
      </c>
      <c r="L12" s="4">
        <v>5</v>
      </c>
      <c r="M12" s="4">
        <v>5</v>
      </c>
      <c r="N12" s="4">
        <v>2</v>
      </c>
      <c r="O12" s="4">
        <v>2</v>
      </c>
      <c r="P12" s="4">
        <v>2</v>
      </c>
      <c r="Q12" s="4">
        <v>1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1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f t="shared" si="0"/>
        <v>1567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</row>
    <row r="13" spans="1:50" x14ac:dyDescent="0.2">
      <c r="A13" s="4">
        <v>4</v>
      </c>
      <c r="B13" s="4">
        <v>5</v>
      </c>
      <c r="C13" s="4">
        <v>2023</v>
      </c>
      <c r="D13" s="5" t="s">
        <v>42</v>
      </c>
      <c r="E13" s="4" t="s">
        <v>45</v>
      </c>
      <c r="F13" s="4">
        <v>2</v>
      </c>
      <c r="G13" s="4">
        <v>1446</v>
      </c>
      <c r="H13" s="4">
        <v>287</v>
      </c>
      <c r="I13" s="4">
        <v>35</v>
      </c>
      <c r="J13" s="4">
        <v>14</v>
      </c>
      <c r="K13" s="4">
        <v>2</v>
      </c>
      <c r="L13" s="4">
        <v>5</v>
      </c>
      <c r="M13" s="4">
        <v>7</v>
      </c>
      <c r="N13" s="4">
        <v>2</v>
      </c>
      <c r="O13" s="4">
        <v>2</v>
      </c>
      <c r="P13" s="4">
        <v>3</v>
      </c>
      <c r="Q13" s="4">
        <v>1</v>
      </c>
      <c r="R13" s="4">
        <v>1</v>
      </c>
      <c r="S13" s="4">
        <v>3</v>
      </c>
      <c r="T13" s="4">
        <v>2</v>
      </c>
      <c r="U13" s="4">
        <v>2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f t="shared" si="0"/>
        <v>1812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</row>
    <row r="14" spans="1:50" x14ac:dyDescent="0.2">
      <c r="A14" s="4">
        <v>4</v>
      </c>
      <c r="B14" s="4">
        <v>6</v>
      </c>
      <c r="C14" s="4">
        <v>2023</v>
      </c>
      <c r="D14" s="4" t="s">
        <v>43</v>
      </c>
      <c r="E14" s="4" t="s">
        <v>45</v>
      </c>
      <c r="F14" s="4">
        <v>1</v>
      </c>
      <c r="G14" s="4">
        <v>1773</v>
      </c>
      <c r="H14" s="4">
        <v>384</v>
      </c>
      <c r="I14" s="4">
        <v>43</v>
      </c>
      <c r="J14" s="4">
        <v>11</v>
      </c>
      <c r="K14" s="4">
        <v>5</v>
      </c>
      <c r="L14" s="4">
        <v>6</v>
      </c>
      <c r="M14" s="4">
        <v>3</v>
      </c>
      <c r="N14" s="4">
        <v>0</v>
      </c>
      <c r="O14" s="4">
        <v>0</v>
      </c>
      <c r="P14" s="4">
        <v>1</v>
      </c>
      <c r="Q14" s="4">
        <v>2</v>
      </c>
      <c r="R14" s="4">
        <v>0</v>
      </c>
      <c r="S14" s="4">
        <v>0</v>
      </c>
      <c r="T14" s="4">
        <v>0</v>
      </c>
      <c r="U14" s="4">
        <v>0</v>
      </c>
      <c r="V14" s="4">
        <v>1</v>
      </c>
      <c r="W14" s="4">
        <v>0</v>
      </c>
      <c r="X14" s="4">
        <v>0</v>
      </c>
      <c r="Y14" s="4">
        <v>2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f t="shared" si="0"/>
        <v>2231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</row>
    <row r="15" spans="1:50" x14ac:dyDescent="0.2">
      <c r="A15" s="4">
        <v>4</v>
      </c>
      <c r="B15" s="4">
        <v>6</v>
      </c>
      <c r="C15" s="4">
        <v>2023</v>
      </c>
      <c r="D15" s="4" t="s">
        <v>43</v>
      </c>
      <c r="E15" s="4" t="s">
        <v>45</v>
      </c>
      <c r="F15" s="4">
        <v>2</v>
      </c>
      <c r="G15" s="4">
        <v>1409</v>
      </c>
      <c r="H15" s="4">
        <v>304</v>
      </c>
      <c r="I15" s="4">
        <v>60</v>
      </c>
      <c r="J15" s="4">
        <v>39</v>
      </c>
      <c r="K15" s="4">
        <v>14</v>
      </c>
      <c r="L15" s="4">
        <v>7</v>
      </c>
      <c r="M15" s="4">
        <v>6</v>
      </c>
      <c r="N15" s="4">
        <v>4</v>
      </c>
      <c r="O15" s="4">
        <v>5</v>
      </c>
      <c r="P15" s="4">
        <v>5</v>
      </c>
      <c r="Q15" s="4">
        <v>3</v>
      </c>
      <c r="R15" s="4">
        <v>3</v>
      </c>
      <c r="S15" s="4">
        <v>5</v>
      </c>
      <c r="T15" s="4">
        <v>4</v>
      </c>
      <c r="U15" s="4">
        <v>1</v>
      </c>
      <c r="V15" s="4">
        <v>1</v>
      </c>
      <c r="W15" s="4">
        <v>1</v>
      </c>
      <c r="X15" s="4">
        <v>0</v>
      </c>
      <c r="Y15" s="4">
        <v>0</v>
      </c>
      <c r="Z15" s="4">
        <v>2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2</v>
      </c>
      <c r="AH15" s="4">
        <v>1</v>
      </c>
      <c r="AI15" s="4">
        <v>0</v>
      </c>
      <c r="AJ15" s="4">
        <v>0</v>
      </c>
      <c r="AK15" s="4">
        <v>0</v>
      </c>
      <c r="AL15" s="4">
        <v>0</v>
      </c>
      <c r="AM15" s="4">
        <f t="shared" si="0"/>
        <v>1876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</row>
    <row r="16" spans="1:50" x14ac:dyDescent="0.2">
      <c r="A16" s="6">
        <v>4</v>
      </c>
      <c r="B16" s="6">
        <v>7</v>
      </c>
      <c r="C16" s="6">
        <v>2023</v>
      </c>
      <c r="D16" s="4" t="s">
        <v>44</v>
      </c>
      <c r="E16" s="4" t="s">
        <v>45</v>
      </c>
      <c r="F16" s="6">
        <v>1</v>
      </c>
      <c r="G16" s="6"/>
      <c r="H16" s="6">
        <v>208</v>
      </c>
      <c r="I16" s="6">
        <v>33</v>
      </c>
      <c r="J16" s="6">
        <v>12</v>
      </c>
      <c r="K16" s="6">
        <v>9</v>
      </c>
      <c r="L16" s="6">
        <v>0</v>
      </c>
      <c r="M16" s="6">
        <v>3</v>
      </c>
      <c r="N16" s="6">
        <v>1</v>
      </c>
      <c r="O16" s="6">
        <v>1</v>
      </c>
      <c r="P16" s="6">
        <v>1</v>
      </c>
      <c r="Q16" s="6">
        <v>2</v>
      </c>
      <c r="R16" s="6">
        <v>4</v>
      </c>
      <c r="S16" s="6">
        <v>3</v>
      </c>
      <c r="T16" s="6">
        <v>2</v>
      </c>
      <c r="U16" s="6">
        <v>2</v>
      </c>
      <c r="V16" s="6">
        <v>1</v>
      </c>
      <c r="W16" s="6">
        <v>1</v>
      </c>
      <c r="X16" s="6">
        <v>0</v>
      </c>
      <c r="Y16" s="6">
        <v>0</v>
      </c>
      <c r="Z16" s="6">
        <v>0</v>
      </c>
      <c r="AA16" s="6">
        <v>0</v>
      </c>
      <c r="AB16" s="6">
        <v>1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4">
        <f t="shared" si="0"/>
        <v>284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</row>
    <row r="17" spans="1:50" x14ac:dyDescent="0.2">
      <c r="A17" s="6">
        <v>4</v>
      </c>
      <c r="B17" s="6">
        <v>7</v>
      </c>
      <c r="C17" s="6">
        <v>2023</v>
      </c>
      <c r="D17" s="4" t="s">
        <v>44</v>
      </c>
      <c r="E17" s="4" t="s">
        <v>45</v>
      </c>
      <c r="F17" s="6">
        <v>2</v>
      </c>
      <c r="G17" s="6"/>
      <c r="H17" s="6">
        <v>380</v>
      </c>
      <c r="I17" s="6">
        <v>10</v>
      </c>
      <c r="J17" s="6">
        <v>1</v>
      </c>
      <c r="K17" s="6">
        <v>0</v>
      </c>
      <c r="L17" s="6">
        <v>3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4">
        <f t="shared" si="0"/>
        <v>395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</row>
    <row r="18" spans="1:50" x14ac:dyDescent="0.2">
      <c r="A18" s="4">
        <v>4</v>
      </c>
      <c r="B18" s="4">
        <v>25</v>
      </c>
      <c r="C18" s="4">
        <v>2023</v>
      </c>
      <c r="D18" s="4" t="s">
        <v>40</v>
      </c>
      <c r="E18" s="4" t="s">
        <v>46</v>
      </c>
      <c r="F18" s="4">
        <v>1</v>
      </c>
      <c r="G18" s="4">
        <v>783</v>
      </c>
      <c r="H18" s="4">
        <v>188</v>
      </c>
      <c r="I18" s="4">
        <v>17</v>
      </c>
      <c r="J18" s="4">
        <v>4</v>
      </c>
      <c r="K18" s="4">
        <v>0</v>
      </c>
      <c r="L18" s="4">
        <v>0</v>
      </c>
      <c r="M18" s="4">
        <v>0</v>
      </c>
      <c r="N18" s="4">
        <v>1</v>
      </c>
      <c r="O18" s="4">
        <v>1</v>
      </c>
      <c r="P18" s="4">
        <v>0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1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f t="shared" si="0"/>
        <v>996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</row>
    <row r="19" spans="1:50" x14ac:dyDescent="0.2">
      <c r="A19" s="4">
        <v>4</v>
      </c>
      <c r="B19" s="4">
        <v>25</v>
      </c>
      <c r="C19" s="4">
        <v>2023</v>
      </c>
      <c r="D19" s="4" t="s">
        <v>40</v>
      </c>
      <c r="E19" s="4" t="s">
        <v>46</v>
      </c>
      <c r="F19" s="4">
        <v>2</v>
      </c>
      <c r="G19" s="4">
        <v>850</v>
      </c>
      <c r="H19" s="4">
        <v>160</v>
      </c>
      <c r="I19" s="4">
        <v>40</v>
      </c>
      <c r="J19" s="4">
        <v>22</v>
      </c>
      <c r="K19" s="4">
        <v>13</v>
      </c>
      <c r="L19" s="4">
        <v>8</v>
      </c>
      <c r="M19" s="4">
        <v>9</v>
      </c>
      <c r="N19" s="4">
        <v>2</v>
      </c>
      <c r="O19" s="4">
        <v>3</v>
      </c>
      <c r="P19" s="4">
        <v>4</v>
      </c>
      <c r="Q19" s="4">
        <v>3</v>
      </c>
      <c r="R19" s="4">
        <v>2</v>
      </c>
      <c r="S19" s="4">
        <v>1</v>
      </c>
      <c r="T19" s="4">
        <v>0</v>
      </c>
      <c r="U19" s="4">
        <v>2</v>
      </c>
      <c r="V19" s="4">
        <v>0</v>
      </c>
      <c r="W19" s="4">
        <v>0</v>
      </c>
      <c r="X19" s="4">
        <v>0</v>
      </c>
      <c r="Y19" s="4">
        <v>0</v>
      </c>
      <c r="Z19" s="4">
        <v>1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f t="shared" si="0"/>
        <v>1120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</row>
    <row r="20" spans="1:50" x14ac:dyDescent="0.2">
      <c r="A20" s="4">
        <v>4</v>
      </c>
      <c r="B20" s="4">
        <v>26</v>
      </c>
      <c r="C20" s="4">
        <v>2023</v>
      </c>
      <c r="D20" s="5" t="s">
        <v>42</v>
      </c>
      <c r="E20" s="4" t="s">
        <v>46</v>
      </c>
      <c r="F20" s="4">
        <v>1</v>
      </c>
      <c r="G20" s="4">
        <v>1686</v>
      </c>
      <c r="H20" s="4">
        <v>353</v>
      </c>
      <c r="I20" s="4">
        <v>73</v>
      </c>
      <c r="J20" s="4">
        <v>14</v>
      </c>
      <c r="K20" s="4">
        <v>11</v>
      </c>
      <c r="L20" s="4">
        <v>7</v>
      </c>
      <c r="M20" s="4">
        <v>4</v>
      </c>
      <c r="N20" s="4">
        <v>6</v>
      </c>
      <c r="O20" s="4">
        <v>8</v>
      </c>
      <c r="P20" s="4">
        <v>2</v>
      </c>
      <c r="Q20" s="4">
        <v>0</v>
      </c>
      <c r="R20" s="4">
        <v>2</v>
      </c>
      <c r="S20" s="4">
        <v>0</v>
      </c>
      <c r="T20" s="4">
        <v>0</v>
      </c>
      <c r="U20" s="4">
        <v>2</v>
      </c>
      <c r="V20" s="4">
        <v>1</v>
      </c>
      <c r="W20" s="4">
        <v>1</v>
      </c>
      <c r="X20" s="4">
        <v>0</v>
      </c>
      <c r="Y20" s="4">
        <v>1</v>
      </c>
      <c r="Z20" s="4">
        <v>0</v>
      </c>
      <c r="AA20" s="4">
        <v>0</v>
      </c>
      <c r="AB20" s="4">
        <v>0</v>
      </c>
      <c r="AC20" s="4">
        <v>1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f t="shared" si="0"/>
        <v>2172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</row>
    <row r="21" spans="1:50" x14ac:dyDescent="0.2">
      <c r="A21" s="4">
        <v>4</v>
      </c>
      <c r="B21" s="4">
        <v>26</v>
      </c>
      <c r="C21" s="4">
        <v>2023</v>
      </c>
      <c r="D21" s="5" t="s">
        <v>42</v>
      </c>
      <c r="E21" s="4" t="s">
        <v>46</v>
      </c>
      <c r="F21" s="4">
        <v>2</v>
      </c>
      <c r="G21" s="4">
        <v>1366</v>
      </c>
      <c r="H21" s="4">
        <v>368</v>
      </c>
      <c r="I21" s="4">
        <v>104</v>
      </c>
      <c r="J21" s="4">
        <v>50</v>
      </c>
      <c r="K21" s="4">
        <v>28</v>
      </c>
      <c r="L21" s="4">
        <v>5</v>
      </c>
      <c r="M21" s="4">
        <v>12</v>
      </c>
      <c r="N21" s="4">
        <v>7</v>
      </c>
      <c r="O21" s="4">
        <v>5</v>
      </c>
      <c r="P21" s="4">
        <v>5</v>
      </c>
      <c r="Q21" s="4">
        <v>3</v>
      </c>
      <c r="R21" s="4">
        <v>0</v>
      </c>
      <c r="S21" s="4">
        <v>0</v>
      </c>
      <c r="T21" s="4">
        <v>1</v>
      </c>
      <c r="U21" s="4">
        <v>1</v>
      </c>
      <c r="V21" s="4">
        <v>1</v>
      </c>
      <c r="W21" s="4">
        <v>0</v>
      </c>
      <c r="X21" s="4">
        <v>2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f t="shared" si="0"/>
        <v>1958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spans="1:50" x14ac:dyDescent="0.2">
      <c r="A22" s="4">
        <v>4</v>
      </c>
      <c r="B22" s="4">
        <v>27</v>
      </c>
      <c r="C22" s="4">
        <v>2023</v>
      </c>
      <c r="D22" s="4" t="s">
        <v>43</v>
      </c>
      <c r="E22" s="4" t="s">
        <v>46</v>
      </c>
      <c r="F22" s="4">
        <v>1</v>
      </c>
      <c r="G22" s="4">
        <v>1331</v>
      </c>
      <c r="H22" s="4">
        <v>195</v>
      </c>
      <c r="I22" s="4">
        <v>10</v>
      </c>
      <c r="J22" s="4">
        <v>21</v>
      </c>
      <c r="K22" s="4">
        <v>3</v>
      </c>
      <c r="L22" s="4">
        <v>3</v>
      </c>
      <c r="M22" s="4">
        <v>2</v>
      </c>
      <c r="N22" s="4">
        <v>0</v>
      </c>
      <c r="O22" s="4">
        <v>5</v>
      </c>
      <c r="P22" s="4">
        <v>3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  <c r="W22" s="4">
        <v>1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f t="shared" si="0"/>
        <v>1575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</row>
    <row r="23" spans="1:50" x14ac:dyDescent="0.2">
      <c r="A23" s="4">
        <v>4</v>
      </c>
      <c r="B23" s="4">
        <v>27</v>
      </c>
      <c r="C23" s="4">
        <v>2023</v>
      </c>
      <c r="D23" s="4" t="s">
        <v>43</v>
      </c>
      <c r="E23" s="4" t="s">
        <v>46</v>
      </c>
      <c r="F23" s="4">
        <v>2</v>
      </c>
      <c r="G23" s="4">
        <v>1140</v>
      </c>
      <c r="H23" s="4">
        <v>191</v>
      </c>
      <c r="I23" s="4">
        <v>62</v>
      </c>
      <c r="J23" s="4">
        <v>27</v>
      </c>
      <c r="K23" s="4">
        <v>15</v>
      </c>
      <c r="L23" s="4">
        <v>12</v>
      </c>
      <c r="M23" s="4">
        <v>10</v>
      </c>
      <c r="N23" s="4">
        <v>8</v>
      </c>
      <c r="O23" s="4">
        <v>3</v>
      </c>
      <c r="P23" s="4">
        <v>7</v>
      </c>
      <c r="Q23" s="4">
        <v>2</v>
      </c>
      <c r="R23" s="4">
        <v>0</v>
      </c>
      <c r="S23" s="4">
        <v>1</v>
      </c>
      <c r="T23" s="4">
        <v>1</v>
      </c>
      <c r="U23" s="4">
        <v>1</v>
      </c>
      <c r="V23" s="4">
        <v>1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1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f t="shared" si="0"/>
        <v>1482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</row>
    <row r="24" spans="1:50" x14ac:dyDescent="0.2">
      <c r="A24" s="4">
        <v>4</v>
      </c>
      <c r="B24" s="4">
        <v>28</v>
      </c>
      <c r="C24" s="4">
        <v>2023</v>
      </c>
      <c r="D24" s="4" t="s">
        <v>44</v>
      </c>
      <c r="E24" s="4" t="s">
        <v>46</v>
      </c>
      <c r="F24" s="4">
        <v>1</v>
      </c>
      <c r="G24" s="4">
        <v>750</v>
      </c>
      <c r="H24" s="4">
        <v>239</v>
      </c>
      <c r="I24" s="4">
        <v>42</v>
      </c>
      <c r="J24" s="4">
        <v>15</v>
      </c>
      <c r="K24" s="4">
        <v>7</v>
      </c>
      <c r="L24" s="4">
        <v>4</v>
      </c>
      <c r="M24" s="4">
        <v>1</v>
      </c>
      <c r="N24" s="4">
        <v>0</v>
      </c>
      <c r="O24" s="4">
        <v>1</v>
      </c>
      <c r="P24" s="4">
        <v>0</v>
      </c>
      <c r="Q24" s="4">
        <v>0</v>
      </c>
      <c r="R24" s="4">
        <v>3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f t="shared" si="0"/>
        <v>1063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</row>
    <row r="25" spans="1:50" x14ac:dyDescent="0.2">
      <c r="A25" s="4">
        <v>4</v>
      </c>
      <c r="B25" s="4">
        <v>28</v>
      </c>
      <c r="C25" s="4">
        <v>2023</v>
      </c>
      <c r="D25" s="4" t="s">
        <v>44</v>
      </c>
      <c r="E25" s="4" t="s">
        <v>46</v>
      </c>
      <c r="F25" s="4">
        <v>2</v>
      </c>
      <c r="G25" s="4">
        <v>794</v>
      </c>
      <c r="H25" s="4">
        <v>131</v>
      </c>
      <c r="I25" s="4">
        <v>31</v>
      </c>
      <c r="J25" s="4">
        <v>7</v>
      </c>
      <c r="K25" s="4">
        <v>6</v>
      </c>
      <c r="L25" s="4">
        <v>1</v>
      </c>
      <c r="M25" s="4">
        <v>4</v>
      </c>
      <c r="N25" s="4">
        <v>3</v>
      </c>
      <c r="O25" s="4">
        <v>2</v>
      </c>
      <c r="P25" s="4">
        <v>1</v>
      </c>
      <c r="Q25" s="4">
        <v>1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2</v>
      </c>
      <c r="AA25" s="4">
        <v>0</v>
      </c>
      <c r="AB25" s="4">
        <v>1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f t="shared" si="0"/>
        <v>984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</row>
    <row r="26" spans="1:50" x14ac:dyDescent="0.2">
      <c r="A26" s="4">
        <v>5</v>
      </c>
      <c r="B26" s="4">
        <v>16</v>
      </c>
      <c r="C26" s="4">
        <v>2023</v>
      </c>
      <c r="D26" s="4" t="s">
        <v>40</v>
      </c>
      <c r="E26" s="4" t="s">
        <v>47</v>
      </c>
      <c r="F26" s="4">
        <v>1</v>
      </c>
      <c r="G26" s="4">
        <v>1560</v>
      </c>
      <c r="H26" s="4">
        <v>310</v>
      </c>
      <c r="I26" s="4">
        <v>34</v>
      </c>
      <c r="J26" s="4">
        <v>10</v>
      </c>
      <c r="K26" s="4">
        <v>6</v>
      </c>
      <c r="L26" s="4">
        <v>2</v>
      </c>
      <c r="M26" s="4">
        <v>1</v>
      </c>
      <c r="N26" s="4">
        <v>0</v>
      </c>
      <c r="O26" s="4">
        <v>3</v>
      </c>
      <c r="P26" s="4">
        <v>2</v>
      </c>
      <c r="Q26" s="4">
        <v>1</v>
      </c>
      <c r="R26" s="4">
        <v>2</v>
      </c>
      <c r="S26" s="4">
        <v>1</v>
      </c>
      <c r="T26" s="4">
        <v>1</v>
      </c>
      <c r="U26" s="4">
        <v>2</v>
      </c>
      <c r="V26" s="4">
        <v>1</v>
      </c>
      <c r="W26" s="4">
        <v>2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f t="shared" si="0"/>
        <v>1938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</row>
    <row r="27" spans="1:50" x14ac:dyDescent="0.2">
      <c r="A27" s="6">
        <v>5</v>
      </c>
      <c r="B27" s="6">
        <v>16</v>
      </c>
      <c r="C27" s="6">
        <v>2023</v>
      </c>
      <c r="D27" s="4" t="s">
        <v>40</v>
      </c>
      <c r="E27" s="4" t="s">
        <v>47</v>
      </c>
      <c r="F27" s="6">
        <v>2</v>
      </c>
      <c r="G27" s="6">
        <v>1399</v>
      </c>
      <c r="H27" s="6">
        <v>267</v>
      </c>
      <c r="I27" s="6">
        <v>57</v>
      </c>
      <c r="J27" s="6">
        <v>19</v>
      </c>
      <c r="K27" s="6">
        <v>1</v>
      </c>
      <c r="L27" s="6">
        <v>2</v>
      </c>
      <c r="M27" s="6">
        <v>3</v>
      </c>
      <c r="N27" s="6">
        <v>3</v>
      </c>
      <c r="O27" s="6">
        <v>3</v>
      </c>
      <c r="P27" s="6">
        <v>2</v>
      </c>
      <c r="Q27" s="6">
        <v>1</v>
      </c>
      <c r="R27" s="6">
        <v>2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2</v>
      </c>
      <c r="Y27" s="6">
        <v>0</v>
      </c>
      <c r="Z27" s="6">
        <v>0</v>
      </c>
      <c r="AA27" s="6">
        <v>1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4">
        <f t="shared" si="0"/>
        <v>1763</v>
      </c>
      <c r="AN27" s="5" t="s">
        <v>48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spans="1:50" x14ac:dyDescent="0.2">
      <c r="A28" s="4">
        <v>5</v>
      </c>
      <c r="B28" s="4">
        <v>17</v>
      </c>
      <c r="C28" s="4">
        <v>2023</v>
      </c>
      <c r="D28" s="5" t="s">
        <v>42</v>
      </c>
      <c r="E28" s="4" t="s">
        <v>47</v>
      </c>
      <c r="F28" s="4">
        <v>1</v>
      </c>
      <c r="G28" s="4">
        <v>1527</v>
      </c>
      <c r="H28" s="4">
        <v>233</v>
      </c>
      <c r="I28" s="4">
        <v>39</v>
      </c>
      <c r="J28" s="4">
        <v>10</v>
      </c>
      <c r="K28" s="4">
        <v>7</v>
      </c>
      <c r="L28" s="4">
        <v>3</v>
      </c>
      <c r="M28" s="4">
        <v>8</v>
      </c>
      <c r="N28" s="4">
        <v>5</v>
      </c>
      <c r="O28" s="4">
        <v>3</v>
      </c>
      <c r="P28" s="4">
        <v>3</v>
      </c>
      <c r="Q28" s="4">
        <v>2</v>
      </c>
      <c r="R28" s="4">
        <v>2</v>
      </c>
      <c r="S28" s="4">
        <v>0</v>
      </c>
      <c r="T28" s="4">
        <v>0</v>
      </c>
      <c r="U28" s="4">
        <v>0</v>
      </c>
      <c r="V28" s="4">
        <v>2</v>
      </c>
      <c r="W28" s="4">
        <v>0</v>
      </c>
      <c r="X28" s="4">
        <v>0</v>
      </c>
      <c r="Y28" s="4">
        <v>1</v>
      </c>
      <c r="Z28" s="4">
        <v>0</v>
      </c>
      <c r="AA28" s="4">
        <v>1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f t="shared" si="0"/>
        <v>1846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</row>
    <row r="29" spans="1:50" x14ac:dyDescent="0.2">
      <c r="A29" s="4">
        <v>5</v>
      </c>
      <c r="B29" s="4">
        <v>17</v>
      </c>
      <c r="C29" s="4">
        <v>2023</v>
      </c>
      <c r="D29" s="5" t="s">
        <v>42</v>
      </c>
      <c r="E29" s="4" t="s">
        <v>47</v>
      </c>
      <c r="F29" s="4">
        <v>2</v>
      </c>
      <c r="G29" s="4">
        <v>1391</v>
      </c>
      <c r="H29" s="4">
        <v>334</v>
      </c>
      <c r="I29" s="4">
        <v>42</v>
      </c>
      <c r="J29" s="4">
        <v>35</v>
      </c>
      <c r="K29" s="4">
        <v>16</v>
      </c>
      <c r="L29" s="4">
        <v>8</v>
      </c>
      <c r="M29" s="4">
        <v>5</v>
      </c>
      <c r="N29" s="4">
        <v>6</v>
      </c>
      <c r="O29" s="4">
        <v>3</v>
      </c>
      <c r="P29" s="4">
        <v>2</v>
      </c>
      <c r="Q29" s="4">
        <v>1</v>
      </c>
      <c r="R29" s="4">
        <v>2</v>
      </c>
      <c r="S29" s="4">
        <v>2</v>
      </c>
      <c r="T29" s="4">
        <v>0</v>
      </c>
      <c r="U29" s="4">
        <v>1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f t="shared" si="0"/>
        <v>1848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</row>
    <row r="30" spans="1:50" x14ac:dyDescent="0.2">
      <c r="A30" s="7">
        <v>5</v>
      </c>
      <c r="B30" s="7">
        <v>18</v>
      </c>
      <c r="C30" s="7">
        <v>2023</v>
      </c>
      <c r="D30" s="4" t="s">
        <v>43</v>
      </c>
      <c r="E30" s="4" t="s">
        <v>47</v>
      </c>
      <c r="F30" s="8" t="s">
        <v>49</v>
      </c>
      <c r="G30" s="9">
        <v>873</v>
      </c>
      <c r="H30" s="9">
        <v>157</v>
      </c>
      <c r="I30" s="9">
        <v>16</v>
      </c>
      <c r="J30" s="9">
        <v>7</v>
      </c>
      <c r="K30" s="9">
        <v>2</v>
      </c>
      <c r="L30" s="9">
        <v>1</v>
      </c>
      <c r="M30" s="9">
        <v>2</v>
      </c>
      <c r="N30" s="9">
        <v>1</v>
      </c>
      <c r="O30" s="9">
        <v>0</v>
      </c>
      <c r="P30" s="9">
        <v>1</v>
      </c>
      <c r="Q30" s="9">
        <v>0</v>
      </c>
      <c r="R30" s="9">
        <v>0</v>
      </c>
      <c r="S30" s="9">
        <v>0</v>
      </c>
      <c r="T30" s="9">
        <v>1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4">
        <f t="shared" si="0"/>
        <v>1061</v>
      </c>
      <c r="AN30" s="5" t="s">
        <v>50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</row>
    <row r="31" spans="1:50" x14ac:dyDescent="0.2">
      <c r="A31" s="7">
        <v>5</v>
      </c>
      <c r="B31" s="7">
        <v>18</v>
      </c>
      <c r="C31" s="7">
        <v>2023</v>
      </c>
      <c r="D31" s="4" t="s">
        <v>43</v>
      </c>
      <c r="E31" s="4" t="s">
        <v>47</v>
      </c>
      <c r="F31" s="8" t="s">
        <v>51</v>
      </c>
      <c r="G31" s="9">
        <v>511</v>
      </c>
      <c r="H31" s="9">
        <v>154</v>
      </c>
      <c r="I31" s="9">
        <v>63</v>
      </c>
      <c r="J31" s="9">
        <v>36</v>
      </c>
      <c r="K31" s="9">
        <v>22</v>
      </c>
      <c r="L31" s="9">
        <v>16</v>
      </c>
      <c r="M31" s="9">
        <v>18</v>
      </c>
      <c r="N31" s="9">
        <v>9</v>
      </c>
      <c r="O31" s="9">
        <v>15</v>
      </c>
      <c r="P31" s="9">
        <v>9</v>
      </c>
      <c r="Q31" s="9">
        <v>7</v>
      </c>
      <c r="R31" s="9">
        <v>7</v>
      </c>
      <c r="S31" s="9">
        <v>1</v>
      </c>
      <c r="T31" s="9">
        <v>2</v>
      </c>
      <c r="U31" s="9">
        <v>4</v>
      </c>
      <c r="V31" s="9">
        <v>4</v>
      </c>
      <c r="W31" s="9">
        <v>2</v>
      </c>
      <c r="X31" s="9">
        <v>2</v>
      </c>
      <c r="Y31" s="9">
        <v>0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4">
        <f t="shared" si="0"/>
        <v>883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</row>
    <row r="32" spans="1:50" x14ac:dyDescent="0.2">
      <c r="A32" s="4">
        <v>5</v>
      </c>
      <c r="B32" s="4">
        <v>18</v>
      </c>
      <c r="C32" s="4">
        <v>2023</v>
      </c>
      <c r="D32" s="4" t="s">
        <v>43</v>
      </c>
      <c r="E32" s="4" t="s">
        <v>47</v>
      </c>
      <c r="F32" s="4">
        <v>2</v>
      </c>
      <c r="G32" s="5">
        <v>1448</v>
      </c>
      <c r="H32" s="5">
        <v>208</v>
      </c>
      <c r="I32" s="5">
        <v>43</v>
      </c>
      <c r="J32" s="5">
        <v>19</v>
      </c>
      <c r="K32" s="5">
        <v>7</v>
      </c>
      <c r="L32" s="5">
        <v>11</v>
      </c>
      <c r="M32" s="5">
        <v>2</v>
      </c>
      <c r="N32" s="5">
        <v>3</v>
      </c>
      <c r="O32" s="5">
        <v>1</v>
      </c>
      <c r="P32" s="5">
        <v>3</v>
      </c>
      <c r="Q32" s="5">
        <v>3</v>
      </c>
      <c r="R32" s="5">
        <v>1</v>
      </c>
      <c r="S32" s="5">
        <v>1</v>
      </c>
      <c r="T32" s="5">
        <v>1</v>
      </c>
      <c r="U32" s="5">
        <v>1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4">
        <f t="shared" si="0"/>
        <v>1753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</row>
    <row r="33" spans="1:50" x14ac:dyDescent="0.2">
      <c r="A33" s="5">
        <v>5</v>
      </c>
      <c r="B33" s="5">
        <v>19</v>
      </c>
      <c r="C33" s="5">
        <v>2023</v>
      </c>
      <c r="D33" s="4" t="s">
        <v>44</v>
      </c>
      <c r="E33" s="4" t="s">
        <v>47</v>
      </c>
      <c r="F33" s="5">
        <v>1</v>
      </c>
      <c r="G33" s="5">
        <v>1507</v>
      </c>
      <c r="H33" s="5">
        <v>291</v>
      </c>
      <c r="I33" s="5">
        <v>45</v>
      </c>
      <c r="J33" s="5">
        <v>10</v>
      </c>
      <c r="K33" s="5">
        <v>4</v>
      </c>
      <c r="L33" s="5">
        <v>6</v>
      </c>
      <c r="M33" s="5">
        <v>0</v>
      </c>
      <c r="N33" s="5">
        <v>0</v>
      </c>
      <c r="O33" s="5">
        <v>0</v>
      </c>
      <c r="P33" s="5">
        <v>1</v>
      </c>
      <c r="Q33" s="5">
        <v>0</v>
      </c>
      <c r="R33" s="5">
        <v>0</v>
      </c>
      <c r="S33" s="5">
        <v>0</v>
      </c>
      <c r="T33" s="5">
        <v>0</v>
      </c>
      <c r="U33" s="5">
        <v>2</v>
      </c>
      <c r="V33" s="5">
        <v>1</v>
      </c>
      <c r="W33" s="5">
        <v>0</v>
      </c>
      <c r="X33" s="5">
        <v>0</v>
      </c>
      <c r="Y33" s="5">
        <v>1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4">
        <f t="shared" si="0"/>
        <v>1868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</row>
    <row r="34" spans="1:50" x14ac:dyDescent="0.2">
      <c r="A34" s="5">
        <v>5</v>
      </c>
      <c r="B34" s="5">
        <v>19</v>
      </c>
      <c r="C34" s="5">
        <v>2023</v>
      </c>
      <c r="D34" s="4" t="s">
        <v>44</v>
      </c>
      <c r="E34" s="4" t="s">
        <v>47</v>
      </c>
      <c r="F34" s="5">
        <v>2</v>
      </c>
      <c r="G34" s="5">
        <v>1345</v>
      </c>
      <c r="H34" s="5">
        <v>331</v>
      </c>
      <c r="I34" s="5">
        <v>39</v>
      </c>
      <c r="J34" s="5">
        <v>23</v>
      </c>
      <c r="K34" s="5">
        <v>16</v>
      </c>
      <c r="L34" s="5">
        <v>9</v>
      </c>
      <c r="M34" s="5">
        <v>11</v>
      </c>
      <c r="N34" s="5">
        <v>6</v>
      </c>
      <c r="O34" s="5">
        <v>8</v>
      </c>
      <c r="P34" s="5">
        <v>3</v>
      </c>
      <c r="Q34" s="5">
        <v>1</v>
      </c>
      <c r="R34" s="5">
        <v>2</v>
      </c>
      <c r="S34" s="5">
        <v>2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0</v>
      </c>
      <c r="Z34" s="5">
        <v>0</v>
      </c>
      <c r="AA34" s="5">
        <v>0</v>
      </c>
      <c r="AB34" s="5">
        <v>1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4">
        <f t="shared" si="0"/>
        <v>1802</v>
      </c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</row>
    <row r="35" spans="1:50" x14ac:dyDescent="0.2">
      <c r="A35" s="5">
        <v>6</v>
      </c>
      <c r="B35" s="5">
        <v>6</v>
      </c>
      <c r="C35" s="5">
        <v>2023</v>
      </c>
      <c r="D35" s="4" t="s">
        <v>40</v>
      </c>
      <c r="E35" s="5" t="s">
        <v>52</v>
      </c>
      <c r="F35" s="5">
        <v>1</v>
      </c>
      <c r="G35" s="5">
        <v>1536</v>
      </c>
      <c r="H35" s="5">
        <v>382</v>
      </c>
      <c r="I35" s="5">
        <v>38</v>
      </c>
      <c r="J35" s="5">
        <v>5</v>
      </c>
      <c r="K35" s="5">
        <v>4</v>
      </c>
      <c r="L35" s="5">
        <v>3</v>
      </c>
      <c r="M35" s="5">
        <v>2</v>
      </c>
      <c r="N35" s="5">
        <v>1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1</v>
      </c>
      <c r="V35" s="5">
        <v>0</v>
      </c>
      <c r="W35" s="5">
        <v>0</v>
      </c>
      <c r="X35" s="5">
        <v>1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4">
        <f t="shared" si="0"/>
        <v>1973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</row>
    <row r="36" spans="1:50" x14ac:dyDescent="0.2">
      <c r="A36" s="5">
        <v>6</v>
      </c>
      <c r="B36" s="5">
        <v>6</v>
      </c>
      <c r="C36" s="5">
        <v>2023</v>
      </c>
      <c r="D36" s="4" t="s">
        <v>40</v>
      </c>
      <c r="E36" s="5" t="s">
        <v>52</v>
      </c>
      <c r="F36" s="5">
        <v>2</v>
      </c>
      <c r="G36" s="5">
        <v>1722</v>
      </c>
      <c r="H36" s="5">
        <v>353</v>
      </c>
      <c r="I36" s="5">
        <v>64</v>
      </c>
      <c r="J36" s="5">
        <v>14</v>
      </c>
      <c r="K36" s="5">
        <v>10</v>
      </c>
      <c r="L36" s="5">
        <v>7</v>
      </c>
      <c r="M36" s="5">
        <v>7</v>
      </c>
      <c r="N36" s="5">
        <v>6</v>
      </c>
      <c r="O36" s="5">
        <v>4</v>
      </c>
      <c r="P36" s="5">
        <v>6</v>
      </c>
      <c r="Q36" s="5">
        <v>1</v>
      </c>
      <c r="R36" s="5">
        <v>1</v>
      </c>
      <c r="S36" s="5">
        <v>2</v>
      </c>
      <c r="T36" s="5">
        <v>2</v>
      </c>
      <c r="U36" s="5">
        <v>2</v>
      </c>
      <c r="V36" s="5">
        <v>2</v>
      </c>
      <c r="W36" s="5">
        <v>1</v>
      </c>
      <c r="X36" s="5">
        <v>0</v>
      </c>
      <c r="Y36" s="5">
        <v>0</v>
      </c>
      <c r="Z36" s="5">
        <v>0</v>
      </c>
      <c r="AA36" s="5">
        <v>1</v>
      </c>
      <c r="AB36" s="5">
        <v>0</v>
      </c>
      <c r="AC36" s="5">
        <v>0</v>
      </c>
      <c r="AD36" s="5">
        <v>1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4">
        <f t="shared" si="0"/>
        <v>2206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</row>
    <row r="37" spans="1:50" x14ac:dyDescent="0.2">
      <c r="A37" s="5">
        <v>6</v>
      </c>
      <c r="B37" s="5">
        <v>7</v>
      </c>
      <c r="C37" s="5">
        <v>2023</v>
      </c>
      <c r="D37" s="5" t="s">
        <v>42</v>
      </c>
      <c r="E37" s="5" t="s">
        <v>52</v>
      </c>
      <c r="F37" s="5">
        <v>1</v>
      </c>
      <c r="G37" s="5">
        <v>1621</v>
      </c>
      <c r="H37" s="5">
        <v>269</v>
      </c>
      <c r="I37" s="5">
        <v>30</v>
      </c>
      <c r="J37" s="5">
        <v>6</v>
      </c>
      <c r="K37" s="5">
        <v>6</v>
      </c>
      <c r="L37" s="5">
        <v>4</v>
      </c>
      <c r="M37" s="5">
        <v>1</v>
      </c>
      <c r="N37" s="5">
        <v>2</v>
      </c>
      <c r="O37" s="5">
        <v>0</v>
      </c>
      <c r="P37" s="5">
        <v>0</v>
      </c>
      <c r="Q37" s="5">
        <v>5</v>
      </c>
      <c r="R37" s="5">
        <v>1</v>
      </c>
      <c r="S37" s="5">
        <v>1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1</v>
      </c>
      <c r="AA37" s="5">
        <v>1</v>
      </c>
      <c r="AB37" s="5">
        <v>0</v>
      </c>
      <c r="AC37" s="5">
        <v>0</v>
      </c>
      <c r="AD37" s="5">
        <v>1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4">
        <f t="shared" si="0"/>
        <v>1949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</row>
    <row r="38" spans="1:50" x14ac:dyDescent="0.2">
      <c r="A38" s="5">
        <v>6</v>
      </c>
      <c r="B38" s="5">
        <v>7</v>
      </c>
      <c r="C38" s="5">
        <v>2023</v>
      </c>
      <c r="D38" s="5" t="s">
        <v>42</v>
      </c>
      <c r="E38" s="5" t="s">
        <v>52</v>
      </c>
      <c r="F38" s="5">
        <v>2</v>
      </c>
      <c r="G38" s="5">
        <v>1369</v>
      </c>
      <c r="H38" s="5">
        <v>323</v>
      </c>
      <c r="I38" s="5">
        <v>59</v>
      </c>
      <c r="J38" s="5">
        <v>30</v>
      </c>
      <c r="K38" s="5">
        <v>21</v>
      </c>
      <c r="L38" s="5">
        <v>9</v>
      </c>
      <c r="M38" s="5">
        <v>11</v>
      </c>
      <c r="N38" s="5">
        <v>5</v>
      </c>
      <c r="O38" s="5">
        <v>3</v>
      </c>
      <c r="P38" s="5">
        <v>3</v>
      </c>
      <c r="Q38" s="5">
        <v>0</v>
      </c>
      <c r="R38" s="5">
        <v>1</v>
      </c>
      <c r="S38" s="5">
        <v>1</v>
      </c>
      <c r="T38" s="5">
        <v>3</v>
      </c>
      <c r="U38" s="5">
        <v>0</v>
      </c>
      <c r="V38" s="5">
        <v>1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1</v>
      </c>
      <c r="AC38" s="5">
        <v>0</v>
      </c>
      <c r="AD38" s="5">
        <v>0</v>
      </c>
      <c r="AE38" s="5">
        <v>0</v>
      </c>
      <c r="AF38" s="5">
        <v>1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4">
        <f t="shared" si="0"/>
        <v>1841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</row>
    <row r="39" spans="1:50" x14ac:dyDescent="0.2">
      <c r="A39" s="5">
        <v>6</v>
      </c>
      <c r="B39" s="5">
        <v>8</v>
      </c>
      <c r="C39" s="5">
        <v>2023</v>
      </c>
      <c r="D39" s="4" t="s">
        <v>43</v>
      </c>
      <c r="E39" s="5" t="s">
        <v>52</v>
      </c>
      <c r="F39" s="5">
        <v>1</v>
      </c>
      <c r="G39" s="5">
        <v>1846</v>
      </c>
      <c r="H39" s="5">
        <v>355</v>
      </c>
      <c r="I39" s="5">
        <v>53</v>
      </c>
      <c r="J39" s="5">
        <v>24</v>
      </c>
      <c r="K39" s="5">
        <v>12</v>
      </c>
      <c r="L39" s="5">
        <v>9</v>
      </c>
      <c r="M39" s="5">
        <v>6</v>
      </c>
      <c r="N39" s="5">
        <v>4</v>
      </c>
      <c r="O39" s="5">
        <v>1</v>
      </c>
      <c r="P39" s="5">
        <v>1</v>
      </c>
      <c r="Q39" s="5">
        <v>3</v>
      </c>
      <c r="R39" s="5">
        <v>2</v>
      </c>
      <c r="S39" s="5">
        <v>3</v>
      </c>
      <c r="T39" s="5">
        <v>1</v>
      </c>
      <c r="U39" s="5">
        <v>0</v>
      </c>
      <c r="V39" s="5">
        <v>0</v>
      </c>
      <c r="W39" s="5">
        <v>1</v>
      </c>
      <c r="X39" s="5">
        <v>0</v>
      </c>
      <c r="Y39" s="5">
        <v>0</v>
      </c>
      <c r="Z39" s="5">
        <v>1</v>
      </c>
      <c r="AA39" s="5">
        <v>0</v>
      </c>
      <c r="AB39" s="5">
        <v>2</v>
      </c>
      <c r="AC39" s="5">
        <v>0</v>
      </c>
      <c r="AD39" s="5">
        <v>1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4">
        <f t="shared" si="0"/>
        <v>2325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spans="1:50" x14ac:dyDescent="0.2">
      <c r="A40" s="5">
        <v>6</v>
      </c>
      <c r="B40" s="5">
        <v>8</v>
      </c>
      <c r="C40" s="5">
        <v>2023</v>
      </c>
      <c r="D40" s="4" t="s">
        <v>43</v>
      </c>
      <c r="E40" s="5" t="s">
        <v>52</v>
      </c>
      <c r="F40" s="5">
        <v>2</v>
      </c>
      <c r="G40" s="5">
        <v>1361</v>
      </c>
      <c r="H40" s="5">
        <v>425</v>
      </c>
      <c r="I40" s="5">
        <v>81</v>
      </c>
      <c r="J40" s="5">
        <v>24</v>
      </c>
      <c r="K40" s="5">
        <v>14</v>
      </c>
      <c r="L40" s="5">
        <v>6</v>
      </c>
      <c r="M40" s="5">
        <v>5</v>
      </c>
      <c r="N40" s="5">
        <v>1</v>
      </c>
      <c r="O40" s="5">
        <v>3</v>
      </c>
      <c r="P40" s="5">
        <v>1</v>
      </c>
      <c r="Q40" s="5">
        <v>1</v>
      </c>
      <c r="R40" s="5">
        <v>1</v>
      </c>
      <c r="S40" s="5">
        <v>2</v>
      </c>
      <c r="T40" s="5">
        <v>1</v>
      </c>
      <c r="U40" s="5">
        <v>1</v>
      </c>
      <c r="V40" s="5">
        <v>1</v>
      </c>
      <c r="W40" s="5">
        <v>0</v>
      </c>
      <c r="X40" s="5">
        <v>0</v>
      </c>
      <c r="Y40" s="5">
        <v>0</v>
      </c>
      <c r="Z40" s="5">
        <v>1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1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4">
        <f t="shared" si="0"/>
        <v>1930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</row>
    <row r="41" spans="1:50" x14ac:dyDescent="0.2">
      <c r="A41" s="5">
        <v>6</v>
      </c>
      <c r="B41" s="5">
        <v>9</v>
      </c>
      <c r="C41" s="5">
        <v>2023</v>
      </c>
      <c r="D41" s="4" t="s">
        <v>44</v>
      </c>
      <c r="E41" s="5" t="s">
        <v>52</v>
      </c>
      <c r="F41" s="5">
        <v>1</v>
      </c>
      <c r="G41" s="5">
        <v>1825</v>
      </c>
      <c r="H41" s="5">
        <v>551</v>
      </c>
      <c r="I41" s="5">
        <v>36</v>
      </c>
      <c r="J41" s="5">
        <v>11</v>
      </c>
      <c r="K41" s="5">
        <v>6</v>
      </c>
      <c r="L41" s="5">
        <v>7</v>
      </c>
      <c r="M41" s="5">
        <v>3</v>
      </c>
      <c r="N41" s="5">
        <v>4</v>
      </c>
      <c r="O41" s="5">
        <v>1</v>
      </c>
      <c r="P41" s="5">
        <v>4</v>
      </c>
      <c r="Q41" s="5">
        <v>1</v>
      </c>
      <c r="R41" s="5">
        <v>1</v>
      </c>
      <c r="S41" s="5">
        <v>1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3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4">
        <f t="shared" si="0"/>
        <v>2455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</row>
    <row r="42" spans="1:50" x14ac:dyDescent="0.2">
      <c r="A42" s="5">
        <v>6</v>
      </c>
      <c r="B42" s="5">
        <v>9</v>
      </c>
      <c r="C42" s="5">
        <v>2023</v>
      </c>
      <c r="D42" s="4" t="s">
        <v>44</v>
      </c>
      <c r="E42" s="5" t="s">
        <v>52</v>
      </c>
      <c r="F42" s="5">
        <v>2</v>
      </c>
      <c r="G42" s="5">
        <v>1886</v>
      </c>
      <c r="H42" s="5">
        <v>520</v>
      </c>
      <c r="I42" s="5">
        <v>92</v>
      </c>
      <c r="J42" s="5">
        <v>34</v>
      </c>
      <c r="K42" s="5">
        <v>18</v>
      </c>
      <c r="L42" s="5">
        <v>9</v>
      </c>
      <c r="M42" s="5">
        <v>11</v>
      </c>
      <c r="N42" s="5">
        <v>8</v>
      </c>
      <c r="O42" s="5">
        <v>4</v>
      </c>
      <c r="P42" s="5">
        <v>0</v>
      </c>
      <c r="Q42" s="5">
        <v>0</v>
      </c>
      <c r="R42" s="5">
        <v>2</v>
      </c>
      <c r="S42" s="5">
        <v>1</v>
      </c>
      <c r="T42" s="5">
        <v>1</v>
      </c>
      <c r="U42" s="5">
        <v>0</v>
      </c>
      <c r="V42" s="5">
        <v>1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4">
        <f t="shared" si="0"/>
        <v>2587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</row>
    <row r="43" spans="1:50" x14ac:dyDescent="0.2">
      <c r="A43" s="5">
        <v>6</v>
      </c>
      <c r="B43" s="5">
        <v>27</v>
      </c>
      <c r="C43" s="5">
        <v>2023</v>
      </c>
      <c r="D43" s="4" t="s">
        <v>40</v>
      </c>
      <c r="E43" s="5" t="s">
        <v>53</v>
      </c>
      <c r="F43" s="5">
        <v>1</v>
      </c>
      <c r="G43" s="5">
        <v>736</v>
      </c>
      <c r="H43" s="5">
        <v>181</v>
      </c>
      <c r="I43" s="5">
        <v>39</v>
      </c>
      <c r="J43" s="5">
        <v>17</v>
      </c>
      <c r="K43" s="5">
        <v>2</v>
      </c>
      <c r="L43" s="5">
        <v>12</v>
      </c>
      <c r="M43" s="5">
        <v>0</v>
      </c>
      <c r="N43" s="5">
        <v>3</v>
      </c>
      <c r="O43" s="5">
        <v>1</v>
      </c>
      <c r="P43" s="5">
        <v>1</v>
      </c>
      <c r="Q43" s="5">
        <v>0</v>
      </c>
      <c r="R43" s="5">
        <v>2</v>
      </c>
      <c r="S43" s="5">
        <v>2</v>
      </c>
      <c r="T43" s="5">
        <v>1</v>
      </c>
      <c r="U43" s="5">
        <v>1</v>
      </c>
      <c r="V43" s="5">
        <v>1</v>
      </c>
      <c r="W43" s="5">
        <v>0</v>
      </c>
      <c r="X43" s="5">
        <v>2</v>
      </c>
      <c r="Y43" s="5">
        <v>0</v>
      </c>
      <c r="Z43" s="5">
        <v>0</v>
      </c>
      <c r="AA43" s="5">
        <v>2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1</v>
      </c>
      <c r="AI43" s="5">
        <v>0</v>
      </c>
      <c r="AJ43" s="5">
        <v>0</v>
      </c>
      <c r="AK43" s="5">
        <v>0</v>
      </c>
      <c r="AL43" s="5">
        <v>0</v>
      </c>
      <c r="AM43" s="4">
        <f t="shared" si="0"/>
        <v>1004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</row>
    <row r="44" spans="1:50" x14ac:dyDescent="0.2">
      <c r="A44" s="5">
        <v>6</v>
      </c>
      <c r="B44" s="5">
        <v>27</v>
      </c>
      <c r="C44" s="5">
        <v>2023</v>
      </c>
      <c r="D44" s="4" t="s">
        <v>40</v>
      </c>
      <c r="E44" s="5" t="s">
        <v>53</v>
      </c>
      <c r="F44" s="5">
        <v>2</v>
      </c>
      <c r="G44" s="5">
        <v>664</v>
      </c>
      <c r="H44" s="5">
        <v>187</v>
      </c>
      <c r="I44" s="5">
        <v>50</v>
      </c>
      <c r="J44" s="5">
        <v>39</v>
      </c>
      <c r="K44" s="5">
        <v>6</v>
      </c>
      <c r="L44" s="5">
        <v>10</v>
      </c>
      <c r="M44" s="5">
        <v>4</v>
      </c>
      <c r="N44" s="5">
        <v>9</v>
      </c>
      <c r="O44" s="5">
        <v>1</v>
      </c>
      <c r="P44" s="5">
        <v>1</v>
      </c>
      <c r="Q44" s="5">
        <v>2</v>
      </c>
      <c r="R44" s="5">
        <v>3</v>
      </c>
      <c r="S44" s="5">
        <v>1</v>
      </c>
      <c r="T44" s="5">
        <v>2</v>
      </c>
      <c r="U44" s="5">
        <v>1</v>
      </c>
      <c r="V44" s="5">
        <v>0</v>
      </c>
      <c r="W44" s="5">
        <v>0</v>
      </c>
      <c r="X44" s="5">
        <v>0</v>
      </c>
      <c r="Y44" s="5">
        <v>2</v>
      </c>
      <c r="Z44" s="5">
        <v>0</v>
      </c>
      <c r="AA44" s="5">
        <v>1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4">
        <f t="shared" si="0"/>
        <v>983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</row>
    <row r="45" spans="1:50" x14ac:dyDescent="0.2">
      <c r="A45" s="5">
        <v>6</v>
      </c>
      <c r="B45" s="5">
        <v>28</v>
      </c>
      <c r="C45" s="5">
        <v>2023</v>
      </c>
      <c r="D45" s="5" t="s">
        <v>42</v>
      </c>
      <c r="E45" s="5" t="s">
        <v>53</v>
      </c>
      <c r="F45" s="5">
        <v>1</v>
      </c>
      <c r="G45" s="5">
        <v>1236</v>
      </c>
      <c r="H45" s="5">
        <v>318</v>
      </c>
      <c r="I45" s="5">
        <v>90</v>
      </c>
      <c r="J45" s="5">
        <v>31</v>
      </c>
      <c r="K45" s="5">
        <v>17</v>
      </c>
      <c r="L45" s="5">
        <v>12</v>
      </c>
      <c r="M45" s="5">
        <v>2</v>
      </c>
      <c r="N45" s="5">
        <v>13</v>
      </c>
      <c r="O45" s="5">
        <v>4</v>
      </c>
      <c r="P45" s="5">
        <v>5</v>
      </c>
      <c r="Q45" s="5">
        <v>2</v>
      </c>
      <c r="R45" s="5">
        <v>5</v>
      </c>
      <c r="S45" s="5">
        <v>3</v>
      </c>
      <c r="T45" s="5">
        <v>2</v>
      </c>
      <c r="U45" s="5">
        <v>4</v>
      </c>
      <c r="V45" s="5">
        <v>1</v>
      </c>
      <c r="W45" s="5">
        <v>0</v>
      </c>
      <c r="X45" s="5">
        <v>2</v>
      </c>
      <c r="Y45" s="5">
        <v>1</v>
      </c>
      <c r="Z45" s="5">
        <v>0</v>
      </c>
      <c r="AA45" s="5">
        <v>0</v>
      </c>
      <c r="AB45" s="5">
        <v>1</v>
      </c>
      <c r="AC45" s="5">
        <v>0</v>
      </c>
      <c r="AD45" s="5">
        <v>0</v>
      </c>
      <c r="AE45" s="5">
        <v>0</v>
      </c>
      <c r="AF45" s="5">
        <v>0</v>
      </c>
      <c r="AG45" s="5">
        <v>1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4">
        <f t="shared" si="0"/>
        <v>1750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</row>
    <row r="46" spans="1:50" x14ac:dyDescent="0.2">
      <c r="A46" s="5">
        <v>6</v>
      </c>
      <c r="B46" s="5">
        <v>28</v>
      </c>
      <c r="C46" s="5">
        <v>2023</v>
      </c>
      <c r="D46" s="5" t="s">
        <v>42</v>
      </c>
      <c r="E46" s="5" t="s">
        <v>53</v>
      </c>
      <c r="F46" s="5">
        <v>2</v>
      </c>
      <c r="G46" s="5">
        <v>1238</v>
      </c>
      <c r="H46" s="5">
        <v>376</v>
      </c>
      <c r="I46" s="5">
        <v>116</v>
      </c>
      <c r="J46" s="5">
        <v>59</v>
      </c>
      <c r="K46" s="5">
        <v>26</v>
      </c>
      <c r="L46" s="5">
        <v>19</v>
      </c>
      <c r="M46" s="5">
        <v>17</v>
      </c>
      <c r="N46" s="5">
        <v>9</v>
      </c>
      <c r="O46" s="5">
        <v>12</v>
      </c>
      <c r="P46" s="5">
        <v>12</v>
      </c>
      <c r="Q46" s="5">
        <v>8</v>
      </c>
      <c r="R46" s="5">
        <v>10</v>
      </c>
      <c r="S46" s="5">
        <v>3</v>
      </c>
      <c r="T46" s="5">
        <v>3</v>
      </c>
      <c r="U46" s="5">
        <v>4</v>
      </c>
      <c r="V46" s="5">
        <v>2</v>
      </c>
      <c r="W46" s="5">
        <v>1</v>
      </c>
      <c r="X46" s="5">
        <v>2</v>
      </c>
      <c r="Y46" s="5">
        <v>0</v>
      </c>
      <c r="Z46" s="5">
        <v>1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4">
        <f t="shared" si="0"/>
        <v>1918</v>
      </c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</row>
    <row r="47" spans="1:50" x14ac:dyDescent="0.2">
      <c r="A47" s="5">
        <v>6</v>
      </c>
      <c r="B47" s="5">
        <v>29</v>
      </c>
      <c r="C47" s="5">
        <v>2023</v>
      </c>
      <c r="D47" s="4" t="s">
        <v>43</v>
      </c>
      <c r="E47" s="5" t="s">
        <v>53</v>
      </c>
      <c r="F47" s="5">
        <v>1</v>
      </c>
      <c r="G47" s="5">
        <v>1200</v>
      </c>
      <c r="H47" s="5">
        <v>261</v>
      </c>
      <c r="I47" s="5">
        <v>76</v>
      </c>
      <c r="J47" s="5">
        <v>48</v>
      </c>
      <c r="K47" s="5">
        <v>19</v>
      </c>
      <c r="L47" s="5">
        <v>13</v>
      </c>
      <c r="M47" s="5">
        <v>8</v>
      </c>
      <c r="N47" s="5">
        <v>9</v>
      </c>
      <c r="O47" s="5">
        <v>13</v>
      </c>
      <c r="P47" s="5">
        <v>5</v>
      </c>
      <c r="Q47" s="5">
        <v>7</v>
      </c>
      <c r="R47" s="5">
        <v>4</v>
      </c>
      <c r="S47" s="5">
        <v>6</v>
      </c>
      <c r="T47" s="5">
        <v>4</v>
      </c>
      <c r="U47" s="5">
        <v>8</v>
      </c>
      <c r="V47" s="5">
        <v>9</v>
      </c>
      <c r="W47" s="5">
        <v>3</v>
      </c>
      <c r="X47" s="5">
        <v>2</v>
      </c>
      <c r="Y47" s="5">
        <v>3</v>
      </c>
      <c r="Z47" s="5">
        <v>1</v>
      </c>
      <c r="AA47" s="5">
        <v>0</v>
      </c>
      <c r="AB47" s="5">
        <v>1</v>
      </c>
      <c r="AC47" s="5">
        <v>1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4">
        <f t="shared" si="0"/>
        <v>1701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</row>
    <row r="48" spans="1:50" x14ac:dyDescent="0.2">
      <c r="A48" s="5">
        <v>6</v>
      </c>
      <c r="B48" s="5">
        <v>29</v>
      </c>
      <c r="C48" s="5">
        <v>2023</v>
      </c>
      <c r="D48" s="4" t="s">
        <v>43</v>
      </c>
      <c r="E48" s="5" t="s">
        <v>53</v>
      </c>
      <c r="F48" s="5">
        <v>2</v>
      </c>
      <c r="G48" s="5">
        <v>985</v>
      </c>
      <c r="H48" s="5">
        <v>203</v>
      </c>
      <c r="I48" s="5">
        <v>38</v>
      </c>
      <c r="J48" s="5">
        <v>17</v>
      </c>
      <c r="K48" s="5">
        <v>9</v>
      </c>
      <c r="L48" s="5">
        <v>10</v>
      </c>
      <c r="M48" s="5">
        <v>6</v>
      </c>
      <c r="N48" s="5">
        <v>9</v>
      </c>
      <c r="O48" s="5">
        <v>6</v>
      </c>
      <c r="P48" s="5">
        <v>5</v>
      </c>
      <c r="Q48" s="5">
        <v>1</v>
      </c>
      <c r="R48" s="5">
        <v>2</v>
      </c>
      <c r="S48" s="5">
        <v>7</v>
      </c>
      <c r="T48" s="5">
        <v>0</v>
      </c>
      <c r="U48" s="5">
        <v>2</v>
      </c>
      <c r="V48" s="5">
        <v>1</v>
      </c>
      <c r="W48" s="5">
        <v>0</v>
      </c>
      <c r="X48" s="5">
        <v>2</v>
      </c>
      <c r="Y48" s="5">
        <v>1</v>
      </c>
      <c r="Z48" s="5">
        <v>0</v>
      </c>
      <c r="AA48" s="5">
        <v>1</v>
      </c>
      <c r="AB48" s="5">
        <v>0</v>
      </c>
      <c r="AC48" s="5">
        <v>0</v>
      </c>
      <c r="AD48" s="5">
        <v>0</v>
      </c>
      <c r="AE48" s="5">
        <v>0</v>
      </c>
      <c r="AF48" s="5">
        <v>1</v>
      </c>
      <c r="AG48" s="5">
        <v>1</v>
      </c>
      <c r="AH48" s="5">
        <v>0</v>
      </c>
      <c r="AI48" s="5">
        <v>0</v>
      </c>
      <c r="AJ48" s="5">
        <v>0</v>
      </c>
      <c r="AK48" s="5">
        <v>1</v>
      </c>
      <c r="AL48" s="5">
        <v>0</v>
      </c>
      <c r="AM48" s="4">
        <f t="shared" si="0"/>
        <v>1308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</row>
    <row r="49" spans="1:50" x14ac:dyDescent="0.2">
      <c r="A49" s="5">
        <v>6</v>
      </c>
      <c r="B49" s="5">
        <v>30</v>
      </c>
      <c r="C49" s="5">
        <v>2023</v>
      </c>
      <c r="D49" s="4" t="s">
        <v>44</v>
      </c>
      <c r="E49" s="5" t="s">
        <v>53</v>
      </c>
      <c r="F49" s="5">
        <v>1</v>
      </c>
      <c r="G49" s="5">
        <v>1098</v>
      </c>
      <c r="H49" s="5">
        <v>250</v>
      </c>
      <c r="I49" s="5">
        <v>85</v>
      </c>
      <c r="J49" s="5">
        <v>47</v>
      </c>
      <c r="K49" s="5">
        <v>22</v>
      </c>
      <c r="L49" s="5">
        <v>17</v>
      </c>
      <c r="M49" s="5">
        <v>9</v>
      </c>
      <c r="N49" s="5">
        <v>10</v>
      </c>
      <c r="O49" s="5">
        <v>8</v>
      </c>
      <c r="P49" s="5">
        <v>9</v>
      </c>
      <c r="Q49" s="5">
        <v>6</v>
      </c>
      <c r="R49" s="5">
        <v>6</v>
      </c>
      <c r="S49" s="5">
        <v>5</v>
      </c>
      <c r="T49" s="5">
        <v>6</v>
      </c>
      <c r="U49" s="5">
        <v>2</v>
      </c>
      <c r="V49" s="5">
        <v>4</v>
      </c>
      <c r="W49" s="5">
        <v>6</v>
      </c>
      <c r="X49" s="5">
        <v>3</v>
      </c>
      <c r="Y49" s="5">
        <v>0</v>
      </c>
      <c r="Z49" s="5">
        <v>0</v>
      </c>
      <c r="AA49" s="5">
        <v>1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4">
        <f t="shared" si="0"/>
        <v>1594</v>
      </c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</row>
    <row r="50" spans="1:50" x14ac:dyDescent="0.2">
      <c r="A50" s="5">
        <v>6</v>
      </c>
      <c r="B50" s="5">
        <v>30</v>
      </c>
      <c r="C50" s="5">
        <v>2023</v>
      </c>
      <c r="D50" s="4" t="s">
        <v>44</v>
      </c>
      <c r="E50" s="5" t="s">
        <v>53</v>
      </c>
      <c r="F50" s="5">
        <v>2</v>
      </c>
      <c r="G50" s="5">
        <v>1253</v>
      </c>
      <c r="H50" s="5">
        <v>278</v>
      </c>
      <c r="I50" s="5">
        <v>64</v>
      </c>
      <c r="J50" s="5">
        <v>38</v>
      </c>
      <c r="K50" s="5">
        <v>21</v>
      </c>
      <c r="L50" s="5">
        <v>19</v>
      </c>
      <c r="M50" s="5">
        <v>18</v>
      </c>
      <c r="N50" s="5">
        <v>28</v>
      </c>
      <c r="O50" s="5">
        <v>17</v>
      </c>
      <c r="P50" s="5">
        <v>9</v>
      </c>
      <c r="Q50" s="5">
        <v>11</v>
      </c>
      <c r="R50" s="5">
        <v>7</v>
      </c>
      <c r="S50" s="5">
        <v>4</v>
      </c>
      <c r="T50" s="5">
        <v>2</v>
      </c>
      <c r="U50" s="5">
        <v>4</v>
      </c>
      <c r="V50" s="5">
        <v>3</v>
      </c>
      <c r="W50" s="5">
        <v>1</v>
      </c>
      <c r="X50" s="5">
        <v>0</v>
      </c>
      <c r="Y50" s="5">
        <v>3</v>
      </c>
      <c r="Z50" s="5">
        <v>3</v>
      </c>
      <c r="AA50" s="5">
        <v>1</v>
      </c>
      <c r="AB50" s="5">
        <v>1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1</v>
      </c>
      <c r="AI50" s="5">
        <v>0</v>
      </c>
      <c r="AJ50" s="5">
        <v>0</v>
      </c>
      <c r="AK50" s="5">
        <v>0</v>
      </c>
      <c r="AL50" s="5">
        <v>0</v>
      </c>
      <c r="AM50" s="4">
        <f t="shared" si="0"/>
        <v>1786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</row>
    <row r="51" spans="1:50" x14ac:dyDescent="0.2">
      <c r="A51" s="5">
        <v>7</v>
      </c>
      <c r="B51" s="5">
        <v>18</v>
      </c>
      <c r="C51" s="5">
        <v>2023</v>
      </c>
      <c r="D51" s="4" t="s">
        <v>40</v>
      </c>
      <c r="E51" s="5" t="s">
        <v>54</v>
      </c>
      <c r="F51" s="5">
        <v>1</v>
      </c>
      <c r="G51" s="5">
        <v>1338</v>
      </c>
      <c r="H51" s="5">
        <v>373</v>
      </c>
      <c r="I51" s="5">
        <v>78</v>
      </c>
      <c r="J51" s="5">
        <v>29</v>
      </c>
      <c r="K51" s="5">
        <v>21</v>
      </c>
      <c r="L51" s="5">
        <v>10</v>
      </c>
      <c r="M51" s="5">
        <v>8</v>
      </c>
      <c r="N51" s="5">
        <v>8</v>
      </c>
      <c r="O51" s="5">
        <v>4</v>
      </c>
      <c r="P51" s="5">
        <v>4</v>
      </c>
      <c r="Q51" s="5">
        <v>5</v>
      </c>
      <c r="R51" s="5">
        <v>5</v>
      </c>
      <c r="S51" s="5">
        <v>2</v>
      </c>
      <c r="T51" s="5">
        <v>6</v>
      </c>
      <c r="U51" s="5">
        <v>9</v>
      </c>
      <c r="V51" s="5">
        <v>1</v>
      </c>
      <c r="W51" s="5">
        <v>1</v>
      </c>
      <c r="X51" s="5">
        <v>0</v>
      </c>
      <c r="Y51" s="5">
        <v>0</v>
      </c>
      <c r="Z51" s="5">
        <v>0</v>
      </c>
      <c r="AA51" s="5">
        <v>4</v>
      </c>
      <c r="AB51" s="5">
        <v>0</v>
      </c>
      <c r="AC51" s="5">
        <v>1</v>
      </c>
      <c r="AD51" s="5">
        <v>0</v>
      </c>
      <c r="AE51" s="5">
        <v>1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1</v>
      </c>
      <c r="AL51" s="5">
        <v>0</v>
      </c>
      <c r="AM51" s="4">
        <f t="shared" si="0"/>
        <v>1909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</row>
    <row r="52" spans="1:50" x14ac:dyDescent="0.2">
      <c r="A52" s="5">
        <v>7</v>
      </c>
      <c r="B52" s="5">
        <v>18</v>
      </c>
      <c r="C52" s="5">
        <v>2023</v>
      </c>
      <c r="D52" s="4" t="s">
        <v>40</v>
      </c>
      <c r="E52" s="5" t="s">
        <v>54</v>
      </c>
      <c r="F52" s="5">
        <v>2</v>
      </c>
      <c r="G52" s="5">
        <v>1414</v>
      </c>
      <c r="H52" s="5">
        <v>430</v>
      </c>
      <c r="I52" s="5">
        <v>155</v>
      </c>
      <c r="J52" s="5">
        <v>51</v>
      </c>
      <c r="K52" s="5">
        <v>51</v>
      </c>
      <c r="L52" s="5">
        <v>30</v>
      </c>
      <c r="M52" s="5">
        <v>15</v>
      </c>
      <c r="N52" s="5">
        <v>16</v>
      </c>
      <c r="O52" s="5">
        <v>12</v>
      </c>
      <c r="P52" s="5">
        <v>4</v>
      </c>
      <c r="Q52" s="5">
        <v>6</v>
      </c>
      <c r="R52" s="5">
        <v>9</v>
      </c>
      <c r="S52" s="5">
        <v>7</v>
      </c>
      <c r="T52" s="5">
        <v>7</v>
      </c>
      <c r="U52" s="5">
        <v>2</v>
      </c>
      <c r="V52" s="5">
        <v>2</v>
      </c>
      <c r="W52" s="5">
        <v>0</v>
      </c>
      <c r="X52" s="5">
        <v>1</v>
      </c>
      <c r="Y52" s="5">
        <v>1</v>
      </c>
      <c r="Z52" s="5">
        <v>0</v>
      </c>
      <c r="AA52" s="5">
        <v>0</v>
      </c>
      <c r="AB52" s="5">
        <v>0</v>
      </c>
      <c r="AC52" s="5">
        <v>1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1</v>
      </c>
      <c r="AL52" s="5">
        <v>0</v>
      </c>
      <c r="AM52" s="4">
        <f t="shared" si="0"/>
        <v>2215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</row>
    <row r="53" spans="1:50" x14ac:dyDescent="0.2">
      <c r="A53" s="5">
        <v>7</v>
      </c>
      <c r="B53" s="5">
        <v>19</v>
      </c>
      <c r="C53" s="5">
        <v>2023</v>
      </c>
      <c r="D53" s="5" t="s">
        <v>42</v>
      </c>
      <c r="E53" s="5" t="s">
        <v>54</v>
      </c>
      <c r="F53" s="5">
        <v>1</v>
      </c>
      <c r="G53" s="5">
        <v>1187</v>
      </c>
      <c r="H53" s="5">
        <v>442</v>
      </c>
      <c r="I53" s="5">
        <v>108</v>
      </c>
      <c r="J53" s="5">
        <v>41</v>
      </c>
      <c r="K53" s="5">
        <v>36</v>
      </c>
      <c r="L53" s="5">
        <v>23</v>
      </c>
      <c r="M53" s="5">
        <v>14</v>
      </c>
      <c r="N53" s="5">
        <v>11</v>
      </c>
      <c r="O53" s="5">
        <v>9</v>
      </c>
      <c r="P53" s="5">
        <v>5</v>
      </c>
      <c r="Q53" s="5">
        <v>10</v>
      </c>
      <c r="R53" s="5">
        <v>7</v>
      </c>
      <c r="S53" s="5">
        <v>9</v>
      </c>
      <c r="T53" s="5">
        <v>4</v>
      </c>
      <c r="U53" s="5">
        <v>3</v>
      </c>
      <c r="V53" s="5">
        <v>1</v>
      </c>
      <c r="W53" s="5">
        <v>0</v>
      </c>
      <c r="X53" s="5">
        <v>1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4">
        <f t="shared" si="0"/>
        <v>1911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</row>
    <row r="54" spans="1:50" x14ac:dyDescent="0.2">
      <c r="A54" s="5">
        <v>7</v>
      </c>
      <c r="B54" s="5">
        <v>19</v>
      </c>
      <c r="C54" s="5">
        <v>2023</v>
      </c>
      <c r="D54" s="5" t="s">
        <v>42</v>
      </c>
      <c r="E54" s="5" t="s">
        <v>54</v>
      </c>
      <c r="F54" s="5">
        <v>2</v>
      </c>
      <c r="G54" s="5">
        <v>1199</v>
      </c>
      <c r="H54" s="5">
        <v>307</v>
      </c>
      <c r="I54" s="5">
        <v>75</v>
      </c>
      <c r="J54" s="5">
        <v>42</v>
      </c>
      <c r="K54" s="5">
        <v>13</v>
      </c>
      <c r="L54" s="5">
        <v>15</v>
      </c>
      <c r="M54" s="5">
        <v>17</v>
      </c>
      <c r="N54" s="5">
        <v>7</v>
      </c>
      <c r="O54" s="5">
        <v>6</v>
      </c>
      <c r="P54" s="5">
        <v>6</v>
      </c>
      <c r="Q54" s="5">
        <v>5</v>
      </c>
      <c r="R54" s="5">
        <v>1</v>
      </c>
      <c r="S54" s="5">
        <v>1</v>
      </c>
      <c r="T54" s="5">
        <v>5</v>
      </c>
      <c r="U54" s="5">
        <v>0</v>
      </c>
      <c r="V54" s="5">
        <v>1</v>
      </c>
      <c r="W54" s="5">
        <v>3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4">
        <f t="shared" si="0"/>
        <v>1703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</row>
    <row r="55" spans="1:50" x14ac:dyDescent="0.2">
      <c r="A55" s="5">
        <v>7</v>
      </c>
      <c r="B55" s="5">
        <v>20</v>
      </c>
      <c r="C55" s="5">
        <v>2023</v>
      </c>
      <c r="D55" s="4" t="s">
        <v>43</v>
      </c>
      <c r="E55" s="5" t="s">
        <v>54</v>
      </c>
      <c r="F55" s="5">
        <v>1</v>
      </c>
      <c r="G55" s="5">
        <v>1434</v>
      </c>
      <c r="H55" s="5">
        <v>363</v>
      </c>
      <c r="I55" s="5">
        <v>68</v>
      </c>
      <c r="J55" s="5">
        <v>41</v>
      </c>
      <c r="K55" s="5">
        <v>19</v>
      </c>
      <c r="L55" s="5">
        <v>14</v>
      </c>
      <c r="M55" s="5">
        <v>12</v>
      </c>
      <c r="N55" s="5">
        <v>13</v>
      </c>
      <c r="O55" s="5">
        <v>7</v>
      </c>
      <c r="P55" s="5">
        <v>9</v>
      </c>
      <c r="Q55" s="5">
        <v>7</v>
      </c>
      <c r="R55" s="5">
        <v>4</v>
      </c>
      <c r="S55" s="5">
        <v>1</v>
      </c>
      <c r="T55" s="5">
        <v>0</v>
      </c>
      <c r="U55" s="5">
        <v>3</v>
      </c>
      <c r="V55" s="5">
        <v>2</v>
      </c>
      <c r="W55" s="5">
        <v>1</v>
      </c>
      <c r="X55" s="5">
        <v>2</v>
      </c>
      <c r="Y55" s="5">
        <v>1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1</v>
      </c>
      <c r="AI55" s="5">
        <v>0</v>
      </c>
      <c r="AJ55" s="5">
        <v>0</v>
      </c>
      <c r="AK55" s="5">
        <v>0</v>
      </c>
      <c r="AL55" s="5">
        <v>0</v>
      </c>
      <c r="AM55" s="4">
        <f t="shared" si="0"/>
        <v>2002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</row>
    <row r="56" spans="1:50" x14ac:dyDescent="0.2">
      <c r="A56" s="5">
        <v>7</v>
      </c>
      <c r="B56" s="5">
        <v>20</v>
      </c>
      <c r="C56" s="5">
        <v>2023</v>
      </c>
      <c r="D56" s="4" t="s">
        <v>43</v>
      </c>
      <c r="E56" s="5" t="s">
        <v>54</v>
      </c>
      <c r="F56" s="5">
        <v>2</v>
      </c>
      <c r="G56" s="5">
        <v>1404</v>
      </c>
      <c r="H56" s="5">
        <v>386</v>
      </c>
      <c r="I56" s="5">
        <v>97</v>
      </c>
      <c r="J56" s="5">
        <v>38</v>
      </c>
      <c r="K56" s="5">
        <v>13</v>
      </c>
      <c r="L56" s="5">
        <v>16</v>
      </c>
      <c r="M56" s="5">
        <v>6</v>
      </c>
      <c r="N56" s="5">
        <v>13</v>
      </c>
      <c r="O56" s="5">
        <v>9</v>
      </c>
      <c r="P56" s="5">
        <v>5</v>
      </c>
      <c r="Q56" s="5">
        <v>2</v>
      </c>
      <c r="R56" s="5">
        <v>8</v>
      </c>
      <c r="S56" s="5">
        <v>1</v>
      </c>
      <c r="T56" s="5">
        <v>3</v>
      </c>
      <c r="U56" s="5">
        <v>2</v>
      </c>
      <c r="V56" s="5">
        <v>1</v>
      </c>
      <c r="W56" s="5">
        <v>1</v>
      </c>
      <c r="X56" s="5">
        <v>0</v>
      </c>
      <c r="Y56" s="5">
        <v>0</v>
      </c>
      <c r="Z56" s="5">
        <v>1</v>
      </c>
      <c r="AA56" s="5">
        <v>1</v>
      </c>
      <c r="AB56" s="5">
        <v>0</v>
      </c>
      <c r="AC56" s="5">
        <v>1</v>
      </c>
      <c r="AD56" s="5">
        <v>1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4">
        <f t="shared" si="0"/>
        <v>2009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</row>
    <row r="57" spans="1:50" x14ac:dyDescent="0.2">
      <c r="A57" s="5">
        <v>7</v>
      </c>
      <c r="B57" s="5">
        <v>21</v>
      </c>
      <c r="C57" s="5">
        <v>2023</v>
      </c>
      <c r="D57" s="4" t="s">
        <v>44</v>
      </c>
      <c r="E57" s="5" t="s">
        <v>54</v>
      </c>
      <c r="F57" s="5">
        <v>1</v>
      </c>
      <c r="G57" s="5">
        <v>1724</v>
      </c>
      <c r="H57" s="5">
        <v>296</v>
      </c>
      <c r="I57" s="5">
        <v>49</v>
      </c>
      <c r="J57" s="5">
        <v>20</v>
      </c>
      <c r="K57" s="5">
        <v>10</v>
      </c>
      <c r="L57" s="5">
        <v>8</v>
      </c>
      <c r="M57" s="5">
        <v>9</v>
      </c>
      <c r="N57" s="5">
        <v>6</v>
      </c>
      <c r="O57" s="5">
        <v>3</v>
      </c>
      <c r="P57" s="5">
        <v>10</v>
      </c>
      <c r="Q57" s="5">
        <v>4</v>
      </c>
      <c r="R57" s="5">
        <v>6</v>
      </c>
      <c r="S57" s="5">
        <v>2</v>
      </c>
      <c r="T57" s="5">
        <v>2</v>
      </c>
      <c r="U57" s="5">
        <v>1</v>
      </c>
      <c r="V57" s="5">
        <v>2</v>
      </c>
      <c r="W57" s="5">
        <v>0</v>
      </c>
      <c r="X57" s="5">
        <v>0</v>
      </c>
      <c r="Y57" s="5">
        <v>1</v>
      </c>
      <c r="Z57" s="5">
        <v>0</v>
      </c>
      <c r="AA57" s="5">
        <v>3</v>
      </c>
      <c r="AB57" s="5">
        <v>0</v>
      </c>
      <c r="AC57" s="5">
        <v>1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4">
        <f t="shared" si="0"/>
        <v>2157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</row>
    <row r="58" spans="1:50" x14ac:dyDescent="0.2">
      <c r="A58" s="5">
        <v>7</v>
      </c>
      <c r="B58" s="5">
        <v>21</v>
      </c>
      <c r="C58" s="5">
        <v>2023</v>
      </c>
      <c r="D58" s="4" t="s">
        <v>44</v>
      </c>
      <c r="E58" s="5" t="s">
        <v>54</v>
      </c>
      <c r="F58" s="5">
        <v>2</v>
      </c>
      <c r="G58" s="5">
        <v>1627</v>
      </c>
      <c r="H58" s="5">
        <v>329</v>
      </c>
      <c r="I58" s="5">
        <v>79</v>
      </c>
      <c r="J58" s="5">
        <v>41</v>
      </c>
      <c r="K58" s="5">
        <v>22</v>
      </c>
      <c r="L58" s="5">
        <v>19</v>
      </c>
      <c r="M58" s="5">
        <v>22</v>
      </c>
      <c r="N58" s="5">
        <v>16</v>
      </c>
      <c r="O58" s="5">
        <v>21</v>
      </c>
      <c r="P58" s="5">
        <v>16</v>
      </c>
      <c r="Q58" s="5">
        <v>14</v>
      </c>
      <c r="R58" s="5">
        <v>11</v>
      </c>
      <c r="S58" s="5">
        <v>5</v>
      </c>
      <c r="T58" s="5">
        <v>5</v>
      </c>
      <c r="U58" s="5">
        <v>5</v>
      </c>
      <c r="V58" s="5">
        <v>8</v>
      </c>
      <c r="W58" s="5">
        <v>3</v>
      </c>
      <c r="X58" s="5">
        <v>1</v>
      </c>
      <c r="Y58" s="5">
        <v>2</v>
      </c>
      <c r="Z58" s="5">
        <v>0</v>
      </c>
      <c r="AA58" s="5">
        <v>3</v>
      </c>
      <c r="AB58" s="5">
        <v>1</v>
      </c>
      <c r="AC58" s="5">
        <v>0</v>
      </c>
      <c r="AD58" s="5">
        <v>2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4">
        <f>SUM(G58:AL58)</f>
        <v>2252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</row>
    <row r="59" spans="1:50" x14ac:dyDescent="0.2">
      <c r="A59" s="5">
        <v>8</v>
      </c>
      <c r="B59" s="5">
        <v>8</v>
      </c>
      <c r="C59" s="5">
        <v>2023</v>
      </c>
      <c r="D59" s="4" t="s">
        <v>40</v>
      </c>
      <c r="E59" s="5" t="s">
        <v>55</v>
      </c>
      <c r="F59" s="5">
        <v>1</v>
      </c>
      <c r="G59" s="5">
        <v>1173</v>
      </c>
      <c r="H59" s="5">
        <v>301</v>
      </c>
      <c r="I59" s="5">
        <v>67</v>
      </c>
      <c r="J59" s="5">
        <v>26</v>
      </c>
      <c r="K59" s="5">
        <v>11</v>
      </c>
      <c r="L59" s="5">
        <v>10</v>
      </c>
      <c r="M59" s="5">
        <v>9</v>
      </c>
      <c r="N59" s="5">
        <v>6</v>
      </c>
      <c r="O59" s="5">
        <v>6</v>
      </c>
      <c r="P59" s="5">
        <v>0</v>
      </c>
      <c r="Q59" s="5">
        <v>1</v>
      </c>
      <c r="R59" s="5">
        <v>3</v>
      </c>
      <c r="S59" s="5">
        <v>4</v>
      </c>
      <c r="T59" s="5">
        <v>1</v>
      </c>
      <c r="U59" s="5">
        <v>1</v>
      </c>
      <c r="V59" s="5">
        <v>3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f>SUM(G59:AL59)</f>
        <v>1622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</row>
    <row r="60" spans="1:50" x14ac:dyDescent="0.2">
      <c r="A60" s="5">
        <v>8</v>
      </c>
      <c r="B60" s="5">
        <v>8</v>
      </c>
      <c r="C60" s="5">
        <v>2023</v>
      </c>
      <c r="D60" s="4" t="s">
        <v>40</v>
      </c>
      <c r="E60" s="5" t="s">
        <v>55</v>
      </c>
      <c r="F60" s="5">
        <v>2</v>
      </c>
      <c r="G60" s="5">
        <v>1324</v>
      </c>
      <c r="H60" s="5">
        <v>384</v>
      </c>
      <c r="I60" s="5">
        <v>100</v>
      </c>
      <c r="J60" s="5">
        <v>62</v>
      </c>
      <c r="K60" s="5">
        <v>32</v>
      </c>
      <c r="L60" s="5">
        <v>27</v>
      </c>
      <c r="M60" s="5">
        <v>15</v>
      </c>
      <c r="N60" s="5">
        <v>13</v>
      </c>
      <c r="O60" s="5">
        <v>14</v>
      </c>
      <c r="P60" s="5">
        <v>7</v>
      </c>
      <c r="Q60" s="5">
        <v>10</v>
      </c>
      <c r="R60" s="5">
        <v>4</v>
      </c>
      <c r="S60" s="5">
        <v>6</v>
      </c>
      <c r="T60" s="5">
        <v>3</v>
      </c>
      <c r="U60" s="5">
        <v>4</v>
      </c>
      <c r="V60" s="5">
        <v>7</v>
      </c>
      <c r="W60" s="5">
        <v>0</v>
      </c>
      <c r="X60" s="5">
        <v>1</v>
      </c>
      <c r="Y60" s="5">
        <v>0</v>
      </c>
      <c r="Z60" s="5">
        <v>1</v>
      </c>
      <c r="AA60" s="5">
        <v>1</v>
      </c>
      <c r="AB60" s="5">
        <v>1</v>
      </c>
      <c r="AC60" s="5">
        <v>1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f>SUM(G60:AL60)</f>
        <v>2017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</row>
    <row r="61" spans="1:50" x14ac:dyDescent="0.2">
      <c r="A61" s="5">
        <v>8</v>
      </c>
      <c r="B61" s="5">
        <v>9</v>
      </c>
      <c r="C61" s="5">
        <v>2023</v>
      </c>
      <c r="D61" s="5" t="s">
        <v>42</v>
      </c>
      <c r="E61" s="5" t="s">
        <v>55</v>
      </c>
      <c r="F61" s="5">
        <v>1</v>
      </c>
      <c r="G61" s="5">
        <v>1207</v>
      </c>
      <c r="H61" s="5">
        <v>204</v>
      </c>
      <c r="I61" s="5">
        <v>46</v>
      </c>
      <c r="J61" s="5">
        <v>38</v>
      </c>
      <c r="K61" s="5">
        <v>29</v>
      </c>
      <c r="L61" s="5">
        <v>17</v>
      </c>
      <c r="M61" s="5">
        <v>5</v>
      </c>
      <c r="N61" s="5">
        <v>11</v>
      </c>
      <c r="O61" s="5">
        <v>7</v>
      </c>
      <c r="P61" s="5">
        <v>6</v>
      </c>
      <c r="Q61" s="5">
        <v>6</v>
      </c>
      <c r="R61" s="5">
        <v>7</v>
      </c>
      <c r="S61" s="5">
        <v>5</v>
      </c>
      <c r="T61" s="5">
        <v>8</v>
      </c>
      <c r="U61" s="5">
        <v>1</v>
      </c>
      <c r="V61" s="5">
        <v>3</v>
      </c>
      <c r="W61" s="5">
        <v>3</v>
      </c>
      <c r="X61" s="5">
        <v>3</v>
      </c>
      <c r="Y61" s="5">
        <v>0</v>
      </c>
      <c r="Z61" s="5">
        <v>1</v>
      </c>
      <c r="AA61" s="5">
        <v>1</v>
      </c>
      <c r="AB61" s="5">
        <v>3</v>
      </c>
      <c r="AC61" s="5">
        <v>2</v>
      </c>
      <c r="AD61" s="5">
        <v>1</v>
      </c>
      <c r="AE61" s="5">
        <v>0</v>
      </c>
      <c r="AF61" s="5">
        <v>0</v>
      </c>
      <c r="AG61" s="5">
        <v>1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f>SUM(G61:AL61)</f>
        <v>1615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</row>
    <row r="62" spans="1:50" x14ac:dyDescent="0.2">
      <c r="A62" s="5">
        <v>8</v>
      </c>
      <c r="B62" s="5">
        <v>9</v>
      </c>
      <c r="C62" s="5">
        <v>2023</v>
      </c>
      <c r="D62" s="5" t="s">
        <v>42</v>
      </c>
      <c r="E62" s="5" t="s">
        <v>55</v>
      </c>
      <c r="F62" s="5">
        <v>2</v>
      </c>
      <c r="G62" s="5">
        <v>1248</v>
      </c>
      <c r="H62" s="5">
        <v>247</v>
      </c>
      <c r="I62" s="5">
        <v>54</v>
      </c>
      <c r="J62" s="5">
        <v>22</v>
      </c>
      <c r="K62" s="5">
        <v>15</v>
      </c>
      <c r="L62" s="5">
        <v>9</v>
      </c>
      <c r="M62" s="5">
        <v>6</v>
      </c>
      <c r="N62" s="5">
        <v>3</v>
      </c>
      <c r="O62" s="5">
        <v>6</v>
      </c>
      <c r="P62" s="5">
        <v>3</v>
      </c>
      <c r="Q62" s="5">
        <v>3</v>
      </c>
      <c r="R62" s="5">
        <v>3</v>
      </c>
      <c r="S62" s="5">
        <v>2</v>
      </c>
      <c r="T62" s="5">
        <v>1</v>
      </c>
      <c r="U62" s="5">
        <v>0</v>
      </c>
      <c r="V62" s="5">
        <v>0</v>
      </c>
      <c r="W62" s="5">
        <v>1</v>
      </c>
      <c r="X62" s="5">
        <v>0</v>
      </c>
      <c r="Y62" s="5">
        <v>1</v>
      </c>
      <c r="Z62" s="5">
        <v>0</v>
      </c>
      <c r="AA62" s="5">
        <v>0</v>
      </c>
      <c r="AB62" s="5">
        <v>0</v>
      </c>
      <c r="AC62" s="5">
        <v>1</v>
      </c>
      <c r="AD62" s="5">
        <v>0</v>
      </c>
      <c r="AE62" s="5">
        <v>0</v>
      </c>
      <c r="AF62" s="5">
        <v>1</v>
      </c>
      <c r="AG62" s="5">
        <v>1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f>SUM(G62:AL62)</f>
        <v>1627</v>
      </c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</row>
    <row r="63" spans="1:50" x14ac:dyDescent="0.2">
      <c r="A63" s="5">
        <v>8</v>
      </c>
      <c r="B63" s="5">
        <v>10</v>
      </c>
      <c r="C63" s="5">
        <v>2023</v>
      </c>
      <c r="D63" s="4" t="s">
        <v>43</v>
      </c>
      <c r="E63" s="5" t="s">
        <v>55</v>
      </c>
      <c r="F63" s="5">
        <v>1</v>
      </c>
      <c r="G63" s="5">
        <v>954</v>
      </c>
      <c r="H63" s="5">
        <v>174</v>
      </c>
      <c r="I63" s="5">
        <v>39</v>
      </c>
      <c r="J63" s="5">
        <v>26</v>
      </c>
      <c r="K63" s="5">
        <v>10</v>
      </c>
      <c r="L63" s="5">
        <v>15</v>
      </c>
      <c r="M63" s="5">
        <v>10</v>
      </c>
      <c r="N63" s="5">
        <v>6</v>
      </c>
      <c r="O63" s="5">
        <v>7</v>
      </c>
      <c r="P63" s="5">
        <v>6</v>
      </c>
      <c r="Q63" s="5">
        <v>6</v>
      </c>
      <c r="R63" s="5">
        <v>9</v>
      </c>
      <c r="S63" s="5">
        <v>8</v>
      </c>
      <c r="T63" s="5">
        <v>3</v>
      </c>
      <c r="U63" s="5">
        <v>12</v>
      </c>
      <c r="V63" s="5">
        <v>7</v>
      </c>
      <c r="W63" s="5">
        <v>3</v>
      </c>
      <c r="X63" s="5">
        <v>1</v>
      </c>
      <c r="Y63" s="5">
        <v>0</v>
      </c>
      <c r="Z63" s="5">
        <v>0</v>
      </c>
      <c r="AA63" s="5">
        <v>1</v>
      </c>
      <c r="AB63" s="5">
        <v>0</v>
      </c>
      <c r="AC63" s="5">
        <v>0</v>
      </c>
      <c r="AD63" s="5">
        <v>0</v>
      </c>
      <c r="AE63" s="5">
        <v>1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f t="shared" ref="AM63:AM82" si="1">SUM(G63:AL63)</f>
        <v>1298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</row>
    <row r="64" spans="1:50" x14ac:dyDescent="0.2">
      <c r="A64" s="5">
        <v>8</v>
      </c>
      <c r="B64" s="5">
        <v>10</v>
      </c>
      <c r="C64" s="5">
        <v>2023</v>
      </c>
      <c r="D64" s="4" t="s">
        <v>43</v>
      </c>
      <c r="E64" s="5" t="s">
        <v>55</v>
      </c>
      <c r="F64" s="5">
        <v>2</v>
      </c>
      <c r="G64" s="5">
        <v>920</v>
      </c>
      <c r="H64" s="5">
        <v>150</v>
      </c>
      <c r="I64" s="5">
        <v>45</v>
      </c>
      <c r="J64" s="5">
        <v>31</v>
      </c>
      <c r="K64" s="5">
        <v>35</v>
      </c>
      <c r="L64" s="5">
        <v>21</v>
      </c>
      <c r="M64" s="5">
        <v>22</v>
      </c>
      <c r="N64" s="5">
        <v>15</v>
      </c>
      <c r="O64" s="5">
        <v>11</v>
      </c>
      <c r="P64" s="5">
        <v>10</v>
      </c>
      <c r="Q64" s="5">
        <v>10</v>
      </c>
      <c r="R64" s="5">
        <v>10</v>
      </c>
      <c r="S64" s="5">
        <v>11</v>
      </c>
      <c r="T64" s="5">
        <v>6</v>
      </c>
      <c r="U64" s="5">
        <v>11</v>
      </c>
      <c r="V64" s="5">
        <v>5</v>
      </c>
      <c r="W64" s="5">
        <v>4</v>
      </c>
      <c r="X64" s="5">
        <v>5</v>
      </c>
      <c r="Y64" s="5">
        <v>4</v>
      </c>
      <c r="Z64" s="5">
        <v>2</v>
      </c>
      <c r="AA64" s="5">
        <v>1</v>
      </c>
      <c r="AB64" s="5">
        <v>0</v>
      </c>
      <c r="AC64" s="5">
        <v>1</v>
      </c>
      <c r="AD64" s="5">
        <v>0</v>
      </c>
      <c r="AE64" s="5">
        <v>3</v>
      </c>
      <c r="AF64" s="5">
        <v>0</v>
      </c>
      <c r="AG64" s="5">
        <v>0</v>
      </c>
      <c r="AH64" s="5">
        <v>0</v>
      </c>
      <c r="AI64" s="5">
        <v>0</v>
      </c>
      <c r="AJ64" s="5">
        <v>1</v>
      </c>
      <c r="AK64" s="5">
        <v>1</v>
      </c>
      <c r="AL64" s="5">
        <v>0</v>
      </c>
      <c r="AM64" s="5">
        <f t="shared" si="1"/>
        <v>1335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</row>
    <row r="65" spans="1:50" x14ac:dyDescent="0.2">
      <c r="A65" s="5">
        <v>8</v>
      </c>
      <c r="B65" s="5">
        <v>11</v>
      </c>
      <c r="C65" s="5">
        <v>2023</v>
      </c>
      <c r="D65" s="4" t="s">
        <v>44</v>
      </c>
      <c r="E65" s="5" t="s">
        <v>55</v>
      </c>
      <c r="F65" s="5">
        <v>1</v>
      </c>
      <c r="G65" s="5">
        <v>1137</v>
      </c>
      <c r="H65" s="5">
        <v>285</v>
      </c>
      <c r="I65" s="5">
        <v>84</v>
      </c>
      <c r="J65" s="5">
        <v>61</v>
      </c>
      <c r="K65" s="5">
        <v>38</v>
      </c>
      <c r="L65" s="5">
        <v>17</v>
      </c>
      <c r="M65" s="5">
        <v>13</v>
      </c>
      <c r="N65" s="5">
        <v>5</v>
      </c>
      <c r="O65" s="5">
        <v>13</v>
      </c>
      <c r="P65" s="5">
        <v>5</v>
      </c>
      <c r="Q65" s="5">
        <v>7</v>
      </c>
      <c r="R65" s="5">
        <v>9</v>
      </c>
      <c r="S65" s="5">
        <v>10</v>
      </c>
      <c r="T65" s="5">
        <v>3</v>
      </c>
      <c r="U65" s="5">
        <v>2</v>
      </c>
      <c r="V65" s="5">
        <v>2</v>
      </c>
      <c r="W65" s="5">
        <v>1</v>
      </c>
      <c r="X65" s="5">
        <v>3</v>
      </c>
      <c r="Y65" s="5">
        <v>0</v>
      </c>
      <c r="Z65" s="5">
        <v>3</v>
      </c>
      <c r="AA65" s="5">
        <v>3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1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f t="shared" si="1"/>
        <v>1702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</row>
    <row r="66" spans="1:50" x14ac:dyDescent="0.2">
      <c r="A66" s="5">
        <v>8</v>
      </c>
      <c r="B66" s="5">
        <v>11</v>
      </c>
      <c r="C66" s="5">
        <v>2023</v>
      </c>
      <c r="D66" s="4" t="s">
        <v>44</v>
      </c>
      <c r="E66" s="5" t="s">
        <v>55</v>
      </c>
      <c r="F66" s="5">
        <v>2</v>
      </c>
      <c r="G66" s="5">
        <v>902</v>
      </c>
      <c r="H66" s="5">
        <v>182</v>
      </c>
      <c r="I66" s="5">
        <v>98</v>
      </c>
      <c r="J66" s="5">
        <v>49</v>
      </c>
      <c r="K66" s="5">
        <v>26</v>
      </c>
      <c r="L66" s="5">
        <v>19</v>
      </c>
      <c r="M66" s="5">
        <v>29</v>
      </c>
      <c r="N66" s="5">
        <v>10</v>
      </c>
      <c r="O66" s="5">
        <v>18</v>
      </c>
      <c r="P66" s="5">
        <v>12</v>
      </c>
      <c r="Q66" s="5">
        <v>19</v>
      </c>
      <c r="R66" s="5">
        <v>18</v>
      </c>
      <c r="S66" s="5">
        <v>14</v>
      </c>
      <c r="T66" s="5">
        <v>5</v>
      </c>
      <c r="U66" s="5">
        <v>3</v>
      </c>
      <c r="V66" s="5">
        <v>6</v>
      </c>
      <c r="W66" s="5">
        <v>4</v>
      </c>
      <c r="X66" s="5">
        <v>4</v>
      </c>
      <c r="Y66" s="5">
        <v>3</v>
      </c>
      <c r="Z66" s="5">
        <v>0</v>
      </c>
      <c r="AA66" s="5">
        <v>2</v>
      </c>
      <c r="AB66" s="5">
        <v>2</v>
      </c>
      <c r="AC66" s="5">
        <v>1</v>
      </c>
      <c r="AD66" s="5">
        <v>1</v>
      </c>
      <c r="AE66" s="5">
        <v>1</v>
      </c>
      <c r="AF66" s="5">
        <v>1</v>
      </c>
      <c r="AG66" s="5">
        <v>0</v>
      </c>
      <c r="AH66" s="5">
        <v>1</v>
      </c>
      <c r="AI66" s="5">
        <v>0</v>
      </c>
      <c r="AJ66" s="5">
        <v>0</v>
      </c>
      <c r="AK66" s="5">
        <v>0</v>
      </c>
      <c r="AL66" s="5">
        <v>1</v>
      </c>
      <c r="AM66" s="5">
        <f t="shared" si="1"/>
        <v>1431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</row>
    <row r="67" spans="1:50" x14ac:dyDescent="0.2">
      <c r="A67" s="5">
        <v>8</v>
      </c>
      <c r="B67" s="5">
        <v>29</v>
      </c>
      <c r="C67" s="5">
        <v>2023</v>
      </c>
      <c r="D67" s="4" t="s">
        <v>40</v>
      </c>
      <c r="E67" s="5" t="s">
        <v>56</v>
      </c>
      <c r="F67" s="5">
        <v>1</v>
      </c>
      <c r="G67" s="5">
        <v>1599</v>
      </c>
      <c r="H67" s="5">
        <v>464</v>
      </c>
      <c r="I67" s="5">
        <v>96</v>
      </c>
      <c r="J67" s="5">
        <v>36</v>
      </c>
      <c r="K67" s="5">
        <v>25</v>
      </c>
      <c r="L67" s="5">
        <v>13</v>
      </c>
      <c r="M67" s="5">
        <v>18</v>
      </c>
      <c r="N67" s="5">
        <v>17</v>
      </c>
      <c r="O67" s="5">
        <v>7</v>
      </c>
      <c r="P67" s="5">
        <v>8</v>
      </c>
      <c r="Q67" s="5">
        <v>5</v>
      </c>
      <c r="R67" s="5">
        <v>5</v>
      </c>
      <c r="S67" s="5">
        <v>4</v>
      </c>
      <c r="T67" s="5">
        <v>3</v>
      </c>
      <c r="U67" s="5">
        <v>7</v>
      </c>
      <c r="V67" s="5">
        <v>2</v>
      </c>
      <c r="W67" s="5">
        <v>2</v>
      </c>
      <c r="X67" s="5">
        <v>4</v>
      </c>
      <c r="Y67" s="5">
        <v>2</v>
      </c>
      <c r="Z67" s="5">
        <v>2</v>
      </c>
      <c r="AA67" s="5">
        <v>4</v>
      </c>
      <c r="AB67" s="5">
        <v>2</v>
      </c>
      <c r="AC67" s="5">
        <v>2</v>
      </c>
      <c r="AD67" s="5">
        <v>1</v>
      </c>
      <c r="AE67" s="5">
        <v>0</v>
      </c>
      <c r="AF67" s="5">
        <v>1</v>
      </c>
      <c r="AG67" s="5">
        <v>1</v>
      </c>
      <c r="AH67" s="5">
        <v>1</v>
      </c>
      <c r="AI67" s="5">
        <v>1</v>
      </c>
      <c r="AJ67" s="5">
        <v>0</v>
      </c>
      <c r="AK67" s="5">
        <v>1</v>
      </c>
      <c r="AL67" s="5">
        <v>1</v>
      </c>
      <c r="AM67" s="5">
        <f t="shared" si="1"/>
        <v>2334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</row>
    <row r="68" spans="1:50" x14ac:dyDescent="0.2">
      <c r="A68" s="5">
        <v>8</v>
      </c>
      <c r="B68" s="5">
        <v>29</v>
      </c>
      <c r="C68" s="5">
        <v>2023</v>
      </c>
      <c r="D68" s="4" t="s">
        <v>40</v>
      </c>
      <c r="E68" s="5" t="s">
        <v>56</v>
      </c>
      <c r="F68" s="5">
        <v>2</v>
      </c>
      <c r="G68" s="5">
        <v>1137</v>
      </c>
      <c r="H68" s="5">
        <v>345</v>
      </c>
      <c r="I68" s="5">
        <v>145</v>
      </c>
      <c r="J68" s="5">
        <v>69</v>
      </c>
      <c r="K68" s="5">
        <v>51</v>
      </c>
      <c r="L68" s="5">
        <v>33</v>
      </c>
      <c r="M68" s="5">
        <v>21</v>
      </c>
      <c r="N68" s="5">
        <v>19</v>
      </c>
      <c r="O68" s="5">
        <v>11</v>
      </c>
      <c r="P68" s="5">
        <v>12</v>
      </c>
      <c r="Q68" s="5">
        <v>11</v>
      </c>
      <c r="R68" s="5">
        <v>12</v>
      </c>
      <c r="S68" s="5">
        <v>7</v>
      </c>
      <c r="T68" s="5">
        <v>7</v>
      </c>
      <c r="U68" s="5">
        <v>2</v>
      </c>
      <c r="V68" s="5">
        <v>4</v>
      </c>
      <c r="W68" s="5">
        <v>3</v>
      </c>
      <c r="X68" s="5">
        <v>2</v>
      </c>
      <c r="Y68" s="5">
        <v>2</v>
      </c>
      <c r="Z68" s="5">
        <v>5</v>
      </c>
      <c r="AA68" s="5">
        <v>1</v>
      </c>
      <c r="AB68" s="5">
        <v>1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f t="shared" si="1"/>
        <v>1900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</row>
    <row r="69" spans="1:50" x14ac:dyDescent="0.2">
      <c r="A69" s="5">
        <v>8</v>
      </c>
      <c r="B69" s="5">
        <v>30</v>
      </c>
      <c r="C69" s="5">
        <v>2023</v>
      </c>
      <c r="D69" s="5" t="s">
        <v>42</v>
      </c>
      <c r="E69" s="5" t="s">
        <v>56</v>
      </c>
      <c r="F69" s="5">
        <v>1</v>
      </c>
      <c r="G69" s="5">
        <v>1045</v>
      </c>
      <c r="H69" s="5">
        <v>254</v>
      </c>
      <c r="I69" s="5">
        <v>77</v>
      </c>
      <c r="J69" s="5">
        <v>43</v>
      </c>
      <c r="K69" s="5">
        <v>18</v>
      </c>
      <c r="L69" s="5">
        <v>12</v>
      </c>
      <c r="M69" s="5">
        <v>13</v>
      </c>
      <c r="N69" s="5">
        <v>6</v>
      </c>
      <c r="O69" s="5">
        <v>6</v>
      </c>
      <c r="P69" s="5">
        <v>6</v>
      </c>
      <c r="Q69" s="5">
        <v>9</v>
      </c>
      <c r="R69" s="5">
        <v>4</v>
      </c>
      <c r="S69" s="5">
        <v>1</v>
      </c>
      <c r="T69" s="5">
        <v>0</v>
      </c>
      <c r="U69" s="5">
        <v>1</v>
      </c>
      <c r="V69" s="5">
        <v>2</v>
      </c>
      <c r="W69" s="5">
        <v>2</v>
      </c>
      <c r="X69" s="5">
        <v>0</v>
      </c>
      <c r="Y69" s="5">
        <v>0</v>
      </c>
      <c r="Z69" s="5">
        <v>0</v>
      </c>
      <c r="AA69" s="5">
        <v>0</v>
      </c>
      <c r="AB69" s="5">
        <v>1</v>
      </c>
      <c r="AC69" s="5">
        <v>0</v>
      </c>
      <c r="AD69" s="5">
        <v>1</v>
      </c>
      <c r="AE69" s="5">
        <v>1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1</v>
      </c>
      <c r="AL69" s="5">
        <v>0</v>
      </c>
      <c r="AM69" s="5">
        <f t="shared" si="1"/>
        <v>1503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</row>
    <row r="70" spans="1:50" x14ac:dyDescent="0.2">
      <c r="A70" s="5">
        <v>8</v>
      </c>
      <c r="B70" s="5">
        <v>30</v>
      </c>
      <c r="C70" s="5">
        <v>2023</v>
      </c>
      <c r="D70" s="5" t="s">
        <v>42</v>
      </c>
      <c r="E70" s="5" t="s">
        <v>56</v>
      </c>
      <c r="F70" s="5">
        <v>2</v>
      </c>
      <c r="G70" s="5">
        <v>1013</v>
      </c>
      <c r="H70" s="5">
        <v>258</v>
      </c>
      <c r="I70" s="5">
        <v>110</v>
      </c>
      <c r="J70" s="5">
        <v>57</v>
      </c>
      <c r="K70" s="5">
        <v>38</v>
      </c>
      <c r="L70" s="5">
        <v>11</v>
      </c>
      <c r="M70" s="5">
        <v>12</v>
      </c>
      <c r="N70" s="5">
        <v>23</v>
      </c>
      <c r="O70" s="5">
        <v>13</v>
      </c>
      <c r="P70" s="5">
        <v>13</v>
      </c>
      <c r="Q70" s="5">
        <v>6</v>
      </c>
      <c r="R70" s="5">
        <v>5</v>
      </c>
      <c r="S70" s="5">
        <v>5</v>
      </c>
      <c r="T70" s="5">
        <v>2</v>
      </c>
      <c r="U70" s="5">
        <v>3</v>
      </c>
      <c r="V70" s="5">
        <v>2</v>
      </c>
      <c r="W70" s="5">
        <v>1</v>
      </c>
      <c r="X70" s="5">
        <v>2</v>
      </c>
      <c r="Y70" s="5">
        <v>1</v>
      </c>
      <c r="Z70" s="5">
        <v>3</v>
      </c>
      <c r="AA70" s="5">
        <v>0</v>
      </c>
      <c r="AB70" s="5">
        <v>1</v>
      </c>
      <c r="AC70" s="5">
        <v>0</v>
      </c>
      <c r="AD70" s="5">
        <v>1</v>
      </c>
      <c r="AE70" s="5">
        <v>0</v>
      </c>
      <c r="AF70" s="5">
        <v>1</v>
      </c>
      <c r="AG70" s="5">
        <v>1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f t="shared" si="1"/>
        <v>1582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</row>
    <row r="71" spans="1:50" x14ac:dyDescent="0.2">
      <c r="A71" s="5">
        <v>8</v>
      </c>
      <c r="B71" s="5">
        <v>31</v>
      </c>
      <c r="C71" s="5">
        <v>2023</v>
      </c>
      <c r="D71" s="4" t="s">
        <v>43</v>
      </c>
      <c r="E71" s="5" t="s">
        <v>56</v>
      </c>
      <c r="F71" s="5">
        <v>1</v>
      </c>
      <c r="G71" s="5">
        <v>1182</v>
      </c>
      <c r="H71" s="5">
        <v>328</v>
      </c>
      <c r="I71" s="5">
        <v>94</v>
      </c>
      <c r="J71" s="5">
        <v>50</v>
      </c>
      <c r="K71" s="5">
        <v>33</v>
      </c>
      <c r="L71" s="5">
        <v>18</v>
      </c>
      <c r="M71" s="5">
        <v>10</v>
      </c>
      <c r="N71" s="5">
        <v>13</v>
      </c>
      <c r="O71" s="5">
        <v>12</v>
      </c>
      <c r="P71" s="5">
        <v>12</v>
      </c>
      <c r="Q71" s="5">
        <v>8</v>
      </c>
      <c r="R71" s="5">
        <v>6</v>
      </c>
      <c r="S71" s="5">
        <v>5</v>
      </c>
      <c r="T71" s="5">
        <v>4</v>
      </c>
      <c r="U71" s="5">
        <v>2</v>
      </c>
      <c r="V71" s="5">
        <v>2</v>
      </c>
      <c r="W71" s="5">
        <v>3</v>
      </c>
      <c r="X71" s="5">
        <v>1</v>
      </c>
      <c r="Y71" s="5">
        <v>2</v>
      </c>
      <c r="Z71" s="5">
        <v>2</v>
      </c>
      <c r="AA71" s="5">
        <v>0</v>
      </c>
      <c r="AB71" s="5">
        <v>2</v>
      </c>
      <c r="AC71" s="5">
        <v>2</v>
      </c>
      <c r="AD71" s="5">
        <v>1</v>
      </c>
      <c r="AE71" s="5">
        <v>2</v>
      </c>
      <c r="AF71" s="5">
        <v>2</v>
      </c>
      <c r="AG71" s="5">
        <v>0</v>
      </c>
      <c r="AH71" s="5">
        <v>0</v>
      </c>
      <c r="AI71" s="5">
        <v>1</v>
      </c>
      <c r="AJ71" s="5">
        <v>0</v>
      </c>
      <c r="AK71" s="5">
        <v>0</v>
      </c>
      <c r="AL71" s="5">
        <v>0</v>
      </c>
      <c r="AM71" s="5">
        <f t="shared" si="1"/>
        <v>1797</v>
      </c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</row>
    <row r="72" spans="1:50" x14ac:dyDescent="0.2">
      <c r="A72" s="5">
        <v>8</v>
      </c>
      <c r="B72" s="5">
        <v>31</v>
      </c>
      <c r="C72" s="5">
        <v>2023</v>
      </c>
      <c r="D72" s="4" t="s">
        <v>43</v>
      </c>
      <c r="E72" s="5" t="s">
        <v>56</v>
      </c>
      <c r="F72" s="5">
        <v>2</v>
      </c>
      <c r="G72" s="5">
        <v>1279</v>
      </c>
      <c r="H72" s="5">
        <v>242</v>
      </c>
      <c r="I72" s="5">
        <v>49</v>
      </c>
      <c r="J72" s="5">
        <v>46</v>
      </c>
      <c r="K72" s="5">
        <v>41</v>
      </c>
      <c r="L72" s="5">
        <v>20</v>
      </c>
      <c r="M72" s="5">
        <v>12</v>
      </c>
      <c r="N72" s="5">
        <v>10</v>
      </c>
      <c r="O72" s="5">
        <v>7</v>
      </c>
      <c r="P72" s="5">
        <v>5</v>
      </c>
      <c r="Q72" s="5">
        <v>11</v>
      </c>
      <c r="R72" s="5">
        <v>12</v>
      </c>
      <c r="S72" s="5">
        <v>7</v>
      </c>
      <c r="T72" s="5">
        <v>9</v>
      </c>
      <c r="U72" s="5">
        <v>4</v>
      </c>
      <c r="V72" s="5">
        <v>6</v>
      </c>
      <c r="W72" s="5">
        <v>1</v>
      </c>
      <c r="X72" s="5">
        <v>2</v>
      </c>
      <c r="Y72" s="5">
        <v>0</v>
      </c>
      <c r="Z72" s="5">
        <v>1</v>
      </c>
      <c r="AA72" s="5">
        <v>2</v>
      </c>
      <c r="AB72" s="5">
        <v>2</v>
      </c>
      <c r="AC72" s="5">
        <v>2</v>
      </c>
      <c r="AD72" s="5">
        <v>1</v>
      </c>
      <c r="AE72" s="5">
        <v>0</v>
      </c>
      <c r="AF72" s="5">
        <v>0</v>
      </c>
      <c r="AG72" s="5">
        <v>1</v>
      </c>
      <c r="AH72" s="5">
        <v>1</v>
      </c>
      <c r="AI72" s="5">
        <v>0</v>
      </c>
      <c r="AJ72" s="5">
        <v>1</v>
      </c>
      <c r="AK72" s="5">
        <v>0</v>
      </c>
      <c r="AL72" s="5">
        <v>0</v>
      </c>
      <c r="AM72" s="5">
        <f t="shared" si="1"/>
        <v>1774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</row>
    <row r="73" spans="1:50" x14ac:dyDescent="0.2">
      <c r="A73" s="5">
        <v>9</v>
      </c>
      <c r="B73" s="5">
        <v>1</v>
      </c>
      <c r="C73" s="5">
        <v>2023</v>
      </c>
      <c r="D73" s="4" t="s">
        <v>44</v>
      </c>
      <c r="E73" s="5" t="s">
        <v>56</v>
      </c>
      <c r="F73" s="5">
        <v>1</v>
      </c>
      <c r="G73" s="5">
        <v>1345</v>
      </c>
      <c r="H73" s="5">
        <v>304</v>
      </c>
      <c r="I73" s="5">
        <v>84</v>
      </c>
      <c r="J73" s="5">
        <v>56</v>
      </c>
      <c r="K73" s="5">
        <v>32</v>
      </c>
      <c r="L73" s="5">
        <v>41</v>
      </c>
      <c r="M73" s="5">
        <v>26</v>
      </c>
      <c r="N73" s="5">
        <v>8</v>
      </c>
      <c r="O73" s="5">
        <v>21</v>
      </c>
      <c r="P73" s="5">
        <v>13</v>
      </c>
      <c r="Q73" s="5">
        <v>10</v>
      </c>
      <c r="R73" s="5">
        <v>8</v>
      </c>
      <c r="S73" s="5">
        <v>4</v>
      </c>
      <c r="T73" s="5">
        <v>3</v>
      </c>
      <c r="U73" s="5">
        <v>7</v>
      </c>
      <c r="V73" s="5">
        <v>4</v>
      </c>
      <c r="W73" s="5">
        <v>4</v>
      </c>
      <c r="X73" s="5">
        <v>1</v>
      </c>
      <c r="Y73" s="5">
        <v>0</v>
      </c>
      <c r="Z73" s="5">
        <v>2</v>
      </c>
      <c r="AA73" s="5">
        <v>2</v>
      </c>
      <c r="AB73" s="5">
        <v>0</v>
      </c>
      <c r="AC73" s="5">
        <v>1</v>
      </c>
      <c r="AD73" s="5">
        <v>1</v>
      </c>
      <c r="AE73" s="5">
        <v>2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f t="shared" si="1"/>
        <v>1979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</row>
    <row r="74" spans="1:50" x14ac:dyDescent="0.2">
      <c r="A74" s="5">
        <v>9</v>
      </c>
      <c r="B74" s="5">
        <v>1</v>
      </c>
      <c r="C74" s="5">
        <v>2023</v>
      </c>
      <c r="D74" s="4" t="s">
        <v>44</v>
      </c>
      <c r="E74" s="5" t="s">
        <v>56</v>
      </c>
      <c r="F74" s="5">
        <v>2</v>
      </c>
      <c r="G74" s="5">
        <v>1035</v>
      </c>
      <c r="H74" s="5">
        <v>282</v>
      </c>
      <c r="I74" s="5">
        <v>91</v>
      </c>
      <c r="J74" s="5">
        <v>75</v>
      </c>
      <c r="K74" s="5">
        <v>47</v>
      </c>
      <c r="L74" s="5">
        <v>27</v>
      </c>
      <c r="M74" s="5">
        <v>34</v>
      </c>
      <c r="N74" s="5">
        <v>18</v>
      </c>
      <c r="O74" s="5">
        <v>22</v>
      </c>
      <c r="P74" s="5">
        <v>15</v>
      </c>
      <c r="Q74" s="5">
        <v>15</v>
      </c>
      <c r="R74" s="5">
        <v>21</v>
      </c>
      <c r="S74" s="5">
        <v>16</v>
      </c>
      <c r="T74" s="5">
        <v>8</v>
      </c>
      <c r="U74" s="5">
        <v>10</v>
      </c>
      <c r="V74" s="5">
        <v>4</v>
      </c>
      <c r="W74" s="5">
        <v>8</v>
      </c>
      <c r="X74" s="5">
        <v>2</v>
      </c>
      <c r="Y74" s="5">
        <v>0</v>
      </c>
      <c r="Z74" s="5">
        <v>1</v>
      </c>
      <c r="AA74" s="5">
        <v>2</v>
      </c>
      <c r="AB74" s="5">
        <v>0</v>
      </c>
      <c r="AC74" s="5">
        <v>0</v>
      </c>
      <c r="AD74" s="5">
        <v>1</v>
      </c>
      <c r="AE74" s="5">
        <v>0</v>
      </c>
      <c r="AF74" s="5">
        <v>0</v>
      </c>
      <c r="AG74" s="5">
        <v>0</v>
      </c>
      <c r="AH74" s="5">
        <v>1</v>
      </c>
      <c r="AI74" s="5">
        <v>0</v>
      </c>
      <c r="AJ74" s="5">
        <v>0</v>
      </c>
      <c r="AK74" s="5">
        <v>0</v>
      </c>
      <c r="AL74" s="5">
        <v>0</v>
      </c>
      <c r="AM74" s="5">
        <f t="shared" si="1"/>
        <v>1735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</row>
    <row r="75" spans="1:50" x14ac:dyDescent="0.2">
      <c r="A75" s="5">
        <v>9</v>
      </c>
      <c r="B75" s="5">
        <v>19</v>
      </c>
      <c r="C75" s="5">
        <v>2023</v>
      </c>
      <c r="D75" s="4" t="s">
        <v>40</v>
      </c>
      <c r="E75" s="5" t="s">
        <v>57</v>
      </c>
      <c r="F75" s="5">
        <v>1</v>
      </c>
      <c r="G75" s="5">
        <v>1121</v>
      </c>
      <c r="H75" s="5">
        <v>264</v>
      </c>
      <c r="I75" s="5">
        <v>58</v>
      </c>
      <c r="J75" s="5">
        <v>24</v>
      </c>
      <c r="K75" s="5">
        <v>8</v>
      </c>
      <c r="L75" s="5">
        <v>4</v>
      </c>
      <c r="M75" s="5">
        <v>5</v>
      </c>
      <c r="N75" s="5">
        <v>7</v>
      </c>
      <c r="O75" s="5">
        <v>11</v>
      </c>
      <c r="P75" s="5">
        <v>8</v>
      </c>
      <c r="Q75" s="5">
        <v>4</v>
      </c>
      <c r="R75" s="5">
        <v>6</v>
      </c>
      <c r="S75" s="5">
        <v>6</v>
      </c>
      <c r="T75" s="5">
        <v>3</v>
      </c>
      <c r="U75" s="5">
        <v>4</v>
      </c>
      <c r="V75" s="5">
        <v>1</v>
      </c>
      <c r="W75" s="5">
        <v>3</v>
      </c>
      <c r="X75" s="5">
        <v>1</v>
      </c>
      <c r="Y75" s="5">
        <v>0</v>
      </c>
      <c r="Z75" s="5">
        <v>3</v>
      </c>
      <c r="AA75" s="5">
        <v>0</v>
      </c>
      <c r="AB75" s="5">
        <v>1</v>
      </c>
      <c r="AC75" s="5">
        <v>0</v>
      </c>
      <c r="AD75" s="5">
        <v>1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1</v>
      </c>
      <c r="AM75" s="5">
        <f t="shared" si="1"/>
        <v>1544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</row>
    <row r="76" spans="1:50" x14ac:dyDescent="0.2">
      <c r="A76" s="5">
        <v>9</v>
      </c>
      <c r="B76" s="5">
        <v>19</v>
      </c>
      <c r="C76" s="5">
        <v>2023</v>
      </c>
      <c r="D76" s="4" t="s">
        <v>40</v>
      </c>
      <c r="E76" s="5" t="s">
        <v>57</v>
      </c>
      <c r="F76" s="5">
        <v>2</v>
      </c>
      <c r="G76" s="5">
        <v>1181</v>
      </c>
      <c r="H76" s="5">
        <v>228</v>
      </c>
      <c r="I76" s="5">
        <v>81</v>
      </c>
      <c r="J76" s="5">
        <v>35</v>
      </c>
      <c r="K76" s="5">
        <v>25</v>
      </c>
      <c r="L76" s="5">
        <v>17</v>
      </c>
      <c r="M76" s="5">
        <v>16</v>
      </c>
      <c r="N76" s="5">
        <v>10</v>
      </c>
      <c r="O76" s="5">
        <v>13</v>
      </c>
      <c r="P76" s="5">
        <v>7</v>
      </c>
      <c r="Q76" s="5">
        <v>5</v>
      </c>
      <c r="R76" s="5">
        <v>4</v>
      </c>
      <c r="S76" s="5">
        <v>7</v>
      </c>
      <c r="T76" s="5">
        <v>2</v>
      </c>
      <c r="U76" s="5">
        <v>3</v>
      </c>
      <c r="V76" s="5">
        <v>1</v>
      </c>
      <c r="W76" s="5">
        <v>3</v>
      </c>
      <c r="X76" s="5">
        <v>3</v>
      </c>
      <c r="Y76" s="5">
        <v>0</v>
      </c>
      <c r="Z76" s="5">
        <v>1</v>
      </c>
      <c r="AA76" s="5">
        <v>5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f t="shared" si="1"/>
        <v>1652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</row>
    <row r="77" spans="1:50" x14ac:dyDescent="0.2">
      <c r="A77" s="5">
        <v>9</v>
      </c>
      <c r="B77" s="5">
        <v>20</v>
      </c>
      <c r="C77" s="5">
        <v>2023</v>
      </c>
      <c r="D77" s="5" t="s">
        <v>42</v>
      </c>
      <c r="E77" s="5" t="s">
        <v>57</v>
      </c>
      <c r="F77" s="5">
        <v>1</v>
      </c>
      <c r="G77" s="5">
        <v>1169</v>
      </c>
      <c r="H77" s="5">
        <v>298</v>
      </c>
      <c r="I77" s="5">
        <v>70</v>
      </c>
      <c r="J77" s="5">
        <v>35</v>
      </c>
      <c r="K77" s="5">
        <v>19</v>
      </c>
      <c r="L77" s="5">
        <v>16</v>
      </c>
      <c r="M77" s="5">
        <v>14</v>
      </c>
      <c r="N77" s="5">
        <v>6</v>
      </c>
      <c r="O77" s="5">
        <v>12</v>
      </c>
      <c r="P77" s="5">
        <v>7</v>
      </c>
      <c r="Q77" s="5">
        <v>5</v>
      </c>
      <c r="R77" s="5">
        <v>2</v>
      </c>
      <c r="S77" s="5">
        <v>0</v>
      </c>
      <c r="T77" s="5">
        <v>1</v>
      </c>
      <c r="U77" s="5">
        <v>3</v>
      </c>
      <c r="V77" s="5">
        <v>0</v>
      </c>
      <c r="W77" s="5">
        <v>0</v>
      </c>
      <c r="X77" s="5">
        <v>1</v>
      </c>
      <c r="Y77" s="5">
        <v>1</v>
      </c>
      <c r="Z77" s="5">
        <v>1</v>
      </c>
      <c r="AA77" s="5">
        <v>0</v>
      </c>
      <c r="AB77" s="5">
        <v>1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f t="shared" si="1"/>
        <v>1661</v>
      </c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</row>
    <row r="78" spans="1:50" x14ac:dyDescent="0.2">
      <c r="A78" s="5">
        <v>9</v>
      </c>
      <c r="B78" s="5">
        <v>20</v>
      </c>
      <c r="C78" s="5">
        <v>2023</v>
      </c>
      <c r="D78" s="5" t="s">
        <v>42</v>
      </c>
      <c r="E78" s="5" t="s">
        <v>57</v>
      </c>
      <c r="F78" s="5">
        <v>2</v>
      </c>
      <c r="G78" s="5">
        <v>1188</v>
      </c>
      <c r="H78" s="5">
        <v>197</v>
      </c>
      <c r="I78" s="5">
        <v>47</v>
      </c>
      <c r="J78" s="5">
        <v>24</v>
      </c>
      <c r="K78" s="5">
        <v>15</v>
      </c>
      <c r="L78" s="5">
        <v>13</v>
      </c>
      <c r="M78" s="5">
        <v>9</v>
      </c>
      <c r="N78" s="5">
        <v>6</v>
      </c>
      <c r="O78" s="5">
        <v>3</v>
      </c>
      <c r="P78" s="5">
        <v>2</v>
      </c>
      <c r="Q78" s="5">
        <v>2</v>
      </c>
      <c r="R78" s="5">
        <v>2</v>
      </c>
      <c r="S78" s="5">
        <v>2</v>
      </c>
      <c r="T78" s="5">
        <v>3</v>
      </c>
      <c r="U78" s="5">
        <v>0</v>
      </c>
      <c r="V78" s="5">
        <v>0</v>
      </c>
      <c r="W78" s="5">
        <v>1</v>
      </c>
      <c r="X78" s="5">
        <v>1</v>
      </c>
      <c r="Y78" s="5">
        <v>1</v>
      </c>
      <c r="Z78" s="5">
        <v>1</v>
      </c>
      <c r="AA78" s="5">
        <v>1</v>
      </c>
      <c r="AB78" s="5">
        <v>0</v>
      </c>
      <c r="AC78" s="5">
        <v>0</v>
      </c>
      <c r="AD78" s="5">
        <v>1</v>
      </c>
      <c r="AE78" s="5">
        <v>0</v>
      </c>
      <c r="AF78" s="5">
        <v>1</v>
      </c>
      <c r="AG78" s="5">
        <v>0</v>
      </c>
      <c r="AH78" s="5">
        <v>0</v>
      </c>
      <c r="AI78" s="5">
        <v>0</v>
      </c>
      <c r="AJ78" s="5">
        <v>0</v>
      </c>
      <c r="AK78" s="5">
        <v>0</v>
      </c>
      <c r="AL78" s="5">
        <v>0</v>
      </c>
      <c r="AM78" s="5">
        <f t="shared" si="1"/>
        <v>1520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</row>
    <row r="79" spans="1:50" x14ac:dyDescent="0.2">
      <c r="A79" s="5">
        <v>9</v>
      </c>
      <c r="B79" s="5">
        <v>21</v>
      </c>
      <c r="C79" s="5">
        <v>2023</v>
      </c>
      <c r="D79" s="4" t="s">
        <v>43</v>
      </c>
      <c r="E79" s="5" t="s">
        <v>57</v>
      </c>
      <c r="F79" s="5">
        <v>1</v>
      </c>
      <c r="G79" s="5">
        <v>1061</v>
      </c>
      <c r="H79" s="5">
        <v>179</v>
      </c>
      <c r="I79" s="5">
        <v>51</v>
      </c>
      <c r="J79" s="5">
        <v>35</v>
      </c>
      <c r="K79" s="5">
        <v>16</v>
      </c>
      <c r="L79" s="5">
        <v>20</v>
      </c>
      <c r="M79" s="5">
        <v>10</v>
      </c>
      <c r="N79" s="5">
        <v>12</v>
      </c>
      <c r="O79" s="5">
        <v>6</v>
      </c>
      <c r="P79" s="5">
        <v>12</v>
      </c>
      <c r="Q79" s="5">
        <v>14</v>
      </c>
      <c r="R79" s="5">
        <v>15</v>
      </c>
      <c r="S79" s="5">
        <v>15</v>
      </c>
      <c r="T79" s="5">
        <v>9</v>
      </c>
      <c r="U79" s="5">
        <v>2</v>
      </c>
      <c r="V79" s="5">
        <v>6</v>
      </c>
      <c r="W79" s="5">
        <v>1</v>
      </c>
      <c r="X79" s="5">
        <v>4</v>
      </c>
      <c r="Y79" s="5">
        <v>5</v>
      </c>
      <c r="Z79" s="5">
        <v>1</v>
      </c>
      <c r="AA79" s="5">
        <v>6</v>
      </c>
      <c r="AB79" s="5">
        <v>3</v>
      </c>
      <c r="AC79" s="5">
        <v>2</v>
      </c>
      <c r="AD79" s="5">
        <v>4</v>
      </c>
      <c r="AE79" s="5">
        <v>1</v>
      </c>
      <c r="AF79" s="5">
        <v>1</v>
      </c>
      <c r="AG79" s="5">
        <v>2</v>
      </c>
      <c r="AH79" s="5">
        <v>0</v>
      </c>
      <c r="AI79" s="5">
        <v>1</v>
      </c>
      <c r="AJ79" s="5">
        <v>0</v>
      </c>
      <c r="AK79" s="5">
        <v>0</v>
      </c>
      <c r="AL79" s="5">
        <v>0</v>
      </c>
      <c r="AM79" s="5">
        <f t="shared" si="1"/>
        <v>1494</v>
      </c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</row>
    <row r="80" spans="1:50" x14ac:dyDescent="0.2">
      <c r="A80" s="5">
        <v>9</v>
      </c>
      <c r="B80" s="5">
        <v>21</v>
      </c>
      <c r="C80" s="5">
        <v>2023</v>
      </c>
      <c r="D80" s="4" t="s">
        <v>43</v>
      </c>
      <c r="E80" s="5" t="s">
        <v>57</v>
      </c>
      <c r="F80" s="5">
        <v>2</v>
      </c>
      <c r="G80" s="5">
        <v>1123</v>
      </c>
      <c r="H80" s="5">
        <v>202</v>
      </c>
      <c r="I80" s="5">
        <v>48</v>
      </c>
      <c r="J80" s="5">
        <v>36</v>
      </c>
      <c r="K80" s="5">
        <v>26</v>
      </c>
      <c r="L80" s="5">
        <v>25</v>
      </c>
      <c r="M80" s="5">
        <v>14</v>
      </c>
      <c r="N80" s="5">
        <v>11</v>
      </c>
      <c r="O80" s="5">
        <v>16</v>
      </c>
      <c r="P80" s="5">
        <v>10</v>
      </c>
      <c r="Q80" s="5">
        <v>15</v>
      </c>
      <c r="R80" s="5">
        <v>7</v>
      </c>
      <c r="S80" s="5">
        <v>9</v>
      </c>
      <c r="T80" s="5">
        <v>7</v>
      </c>
      <c r="U80" s="5">
        <v>4</v>
      </c>
      <c r="V80" s="5">
        <v>5</v>
      </c>
      <c r="W80" s="5">
        <v>4</v>
      </c>
      <c r="X80" s="5">
        <v>5</v>
      </c>
      <c r="Y80" s="5">
        <v>6</v>
      </c>
      <c r="Z80" s="5">
        <v>6</v>
      </c>
      <c r="AA80" s="5">
        <v>3</v>
      </c>
      <c r="AB80" s="5">
        <v>0</v>
      </c>
      <c r="AC80" s="5">
        <v>0</v>
      </c>
      <c r="AD80" s="5">
        <v>3</v>
      </c>
      <c r="AE80" s="5">
        <v>3</v>
      </c>
      <c r="AF80" s="5">
        <v>1</v>
      </c>
      <c r="AG80" s="5">
        <v>0</v>
      </c>
      <c r="AH80" s="5">
        <v>1</v>
      </c>
      <c r="AI80" s="5">
        <v>1</v>
      </c>
      <c r="AJ80" s="5">
        <v>0</v>
      </c>
      <c r="AK80" s="5">
        <v>0</v>
      </c>
      <c r="AL80" s="5">
        <v>0</v>
      </c>
      <c r="AM80" s="5">
        <f t="shared" si="1"/>
        <v>1591</v>
      </c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</row>
    <row r="81" spans="1:39" x14ac:dyDescent="0.2">
      <c r="A81" s="5">
        <v>9</v>
      </c>
      <c r="B81">
        <v>22</v>
      </c>
      <c r="C81" s="5">
        <v>2023</v>
      </c>
      <c r="D81" s="4" t="s">
        <v>44</v>
      </c>
      <c r="E81" s="5" t="s">
        <v>57</v>
      </c>
      <c r="F81" s="5">
        <v>1</v>
      </c>
      <c r="G81">
        <v>1160</v>
      </c>
      <c r="H81">
        <v>291</v>
      </c>
      <c r="I81">
        <v>66</v>
      </c>
      <c r="J81">
        <v>47</v>
      </c>
      <c r="K81">
        <v>30</v>
      </c>
      <c r="L81">
        <v>26</v>
      </c>
      <c r="M81">
        <v>15</v>
      </c>
      <c r="N81">
        <v>15</v>
      </c>
      <c r="O81">
        <v>7</v>
      </c>
      <c r="P81">
        <v>5</v>
      </c>
      <c r="Q81">
        <v>4</v>
      </c>
      <c r="R81">
        <v>5</v>
      </c>
      <c r="S81">
        <v>8</v>
      </c>
      <c r="T81">
        <v>5</v>
      </c>
      <c r="U81">
        <v>2</v>
      </c>
      <c r="V81">
        <v>0</v>
      </c>
      <c r="W81">
        <v>4</v>
      </c>
      <c r="X81">
        <v>2</v>
      </c>
      <c r="Y81">
        <v>1</v>
      </c>
      <c r="Z81">
        <v>1</v>
      </c>
      <c r="AA81">
        <v>1</v>
      </c>
      <c r="AB81">
        <v>2</v>
      </c>
      <c r="AC81">
        <v>2</v>
      </c>
      <c r="AD81">
        <v>1</v>
      </c>
      <c r="AE81">
        <v>1</v>
      </c>
      <c r="AF81">
        <v>2</v>
      </c>
      <c r="AG81">
        <v>2</v>
      </c>
      <c r="AH81">
        <v>0</v>
      </c>
      <c r="AI81">
        <v>0</v>
      </c>
      <c r="AJ81">
        <v>0</v>
      </c>
      <c r="AK81">
        <v>0</v>
      </c>
      <c r="AL81">
        <v>0</v>
      </c>
      <c r="AM81" s="5">
        <f t="shared" si="1"/>
        <v>1705</v>
      </c>
    </row>
    <row r="82" spans="1:39" x14ac:dyDescent="0.2">
      <c r="A82" s="5">
        <v>9</v>
      </c>
      <c r="B82">
        <v>22</v>
      </c>
      <c r="C82" s="5">
        <v>2023</v>
      </c>
      <c r="D82" s="4" t="s">
        <v>44</v>
      </c>
      <c r="E82" s="5" t="s">
        <v>57</v>
      </c>
      <c r="F82" s="5">
        <v>2</v>
      </c>
      <c r="G82">
        <v>1142</v>
      </c>
      <c r="H82">
        <v>213</v>
      </c>
      <c r="I82">
        <v>51</v>
      </c>
      <c r="J82">
        <v>35</v>
      </c>
      <c r="K82">
        <v>23</v>
      </c>
      <c r="L82">
        <v>28</v>
      </c>
      <c r="M82">
        <v>18</v>
      </c>
      <c r="N82">
        <v>9</v>
      </c>
      <c r="O82">
        <v>6</v>
      </c>
      <c r="P82">
        <v>9</v>
      </c>
      <c r="Q82">
        <v>13</v>
      </c>
      <c r="R82">
        <v>8</v>
      </c>
      <c r="S82">
        <v>5</v>
      </c>
      <c r="T82">
        <v>1</v>
      </c>
      <c r="U82">
        <v>7</v>
      </c>
      <c r="V82">
        <v>3</v>
      </c>
      <c r="W82">
        <v>3</v>
      </c>
      <c r="X82">
        <v>4</v>
      </c>
      <c r="Y82">
        <v>2</v>
      </c>
      <c r="Z82">
        <v>7</v>
      </c>
      <c r="AA82">
        <v>4</v>
      </c>
      <c r="AB82">
        <v>0</v>
      </c>
      <c r="AC82">
        <v>5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 s="5">
        <f t="shared" si="1"/>
        <v>1597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CC65492B2D2B45BDFD3C1876C8B7DF" ma:contentTypeVersion="18" ma:contentTypeDescription="Create a new document." ma:contentTypeScope="" ma:versionID="3aebea4a3e41779352d7b09fd8646cdd">
  <xsd:schema xmlns:xsd="http://www.w3.org/2001/XMLSchema" xmlns:xs="http://www.w3.org/2001/XMLSchema" xmlns:p="http://schemas.microsoft.com/office/2006/metadata/properties" xmlns:ns2="578c36e4-03ed-4671-a714-4b2eff8e64ad" xmlns:ns3="1c1509c2-8dc3-465d-82b1-58e4055cbad7" targetNamespace="http://schemas.microsoft.com/office/2006/metadata/properties" ma:root="true" ma:fieldsID="3e79ca31fceb6f96eec730198615e70c" ns2:_="" ns3:_="">
    <xsd:import namespace="578c36e4-03ed-4671-a714-4b2eff8e64ad"/>
    <xsd:import namespace="1c1509c2-8dc3-465d-82b1-58e4055cb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c36e4-03ed-4671-a714-4b2eff8e64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e20e570-3a27-4eff-9ea0-d3488a33fb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1509c2-8dc3-465d-82b1-58e4055cbad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48d2bcc-7c54-43b8-8cb1-c35a27c02400}" ma:internalName="TaxCatchAll" ma:showField="CatchAllData" ma:web="1c1509c2-8dc3-465d-82b1-58e4055cba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78c36e4-03ed-4671-a714-4b2eff8e64ad">
      <Terms xmlns="http://schemas.microsoft.com/office/infopath/2007/PartnerControls"/>
    </lcf76f155ced4ddcb4097134ff3c332f>
    <TaxCatchAll xmlns="1c1509c2-8dc3-465d-82b1-58e4055cba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1D10490-4BD6-4B0C-A256-5E0B42495A4C}"/>
</file>

<file path=customXml/itemProps2.xml><?xml version="1.0" encoding="utf-8"?>
<ds:datastoreItem xmlns:ds="http://schemas.openxmlformats.org/officeDocument/2006/customXml" ds:itemID="{63F2FBEB-B0BD-4921-AD8A-64EB9A80CFC7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1c1509c2-8dc3-465d-82b1-58e4055cbad7"/>
    <ds:schemaRef ds:uri="578c36e4-03ed-4671-a714-4b2eff8e64ad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FCE5F92-7A2A-4592-93C1-1F2644B670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Kevin Middleton</cp:lastModifiedBy>
  <cp:revision/>
  <dcterms:created xsi:type="dcterms:W3CDTF">2023-03-15T00:29:21Z</dcterms:created>
  <dcterms:modified xsi:type="dcterms:W3CDTF">2024-09-04T02:28:38Z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0x0101003ECC65492B2D2B45BDFD3C1876C8B7DF</vt:lpwstr>
  </property>
  <property fmtid="{D5CDD505-2E9C-101B-9397-08002B2CF9AE}" pid="3" name="MediaServiceImageTags">
    <vt:lpwstr/>
  </property>
</Properties>
</file>