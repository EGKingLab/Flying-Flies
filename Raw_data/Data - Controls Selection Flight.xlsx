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ailmissouri.sharepoint.com/sites/MUCASBIOLSCIKingLab-Ogrp/Shared Documents/General/Lab_Data/Flying_Flies/FF_Flight_Performance/"/>
    </mc:Choice>
  </mc:AlternateContent>
  <xr:revisionPtr revIDLastSave="2960" documentId="11_545FC2ABE9F2708C005B6933A039EE445AC6018E" xr6:coauthVersionLast="47" xr6:coauthVersionMax="47" xr10:uidLastSave="{A94754BF-91B6-4F4D-9001-95A8F64D53BA}"/>
  <bookViews>
    <workbookView xWindow="720" yWindow="555" windowWidth="22605" windowHeight="15585" xr2:uid="{00000000-000D-0000-FFFF-FFFF00000000}"/>
  </bookViews>
  <sheets>
    <sheet name="Control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40" i="1" l="1"/>
  <c r="AN39" i="1"/>
  <c r="AN38" i="1"/>
  <c r="AN37" i="1"/>
  <c r="AN36" i="1"/>
  <c r="AN35" i="1"/>
  <c r="AN34" i="1"/>
  <c r="AN33" i="1"/>
  <c r="AN32" i="1"/>
  <c r="AN31" i="1"/>
  <c r="AN30" i="1"/>
  <c r="AN29" i="1"/>
  <c r="AN28" i="1"/>
  <c r="AN27" i="1"/>
  <c r="AN26" i="1"/>
  <c r="AN25" i="1"/>
  <c r="AN3" i="1"/>
  <c r="AN4" i="1"/>
  <c r="AN5" i="1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" i="1"/>
</calcChain>
</file>

<file path=xl/sharedStrings.xml><?xml version="1.0" encoding="utf-8"?>
<sst xmlns="http://schemas.openxmlformats.org/spreadsheetml/2006/main" count="134" uniqueCount="57">
  <si>
    <t>Month</t>
  </si>
  <si>
    <t>Day</t>
  </si>
  <si>
    <t>Year</t>
  </si>
  <si>
    <t>Week</t>
  </si>
  <si>
    <t>Generation</t>
  </si>
  <si>
    <t>Line</t>
  </si>
  <si>
    <t>Run</t>
  </si>
  <si>
    <t>C0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</si>
  <si>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</si>
  <si>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</si>
  <si>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</si>
  <si>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</si>
  <si>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</si>
  <si>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</si>
  <si>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</si>
  <si>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</si>
  <si>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</si>
  <si>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</si>
  <si>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</si>
  <si>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</si>
  <si>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</si>
  <si>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</si>
  <si>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</si>
  <si>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</si>
  <si>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</si>
  <si>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</si>
  <si>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</si>
  <si>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</si>
  <si>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</si>
  <si>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</si>
  <si>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</si>
  <si>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</si>
  <si>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</si>
  <si>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 xml:space="preserve">C26 </t>
  </si>
  <si>
    <t>C27</t>
  </si>
  <si>
    <t>C28</t>
  </si>
  <si>
    <t>C29</t>
  </si>
  <si>
    <t>C30</t>
  </si>
  <si>
    <t>C31</t>
  </si>
  <si>
    <t>Sum</t>
  </si>
  <si>
    <t>Notes</t>
  </si>
  <si>
    <t>G6</t>
  </si>
  <si>
    <t>Control-4</t>
  </si>
  <si>
    <t>Ran control 4, 3 days early</t>
  </si>
  <si>
    <t>Control-1</t>
  </si>
  <si>
    <t>Control-2</t>
  </si>
  <si>
    <t>Control-3</t>
  </si>
  <si>
    <t>Ran control 4, with limited number of flies</t>
  </si>
  <si>
    <t>G7</t>
  </si>
  <si>
    <t>Ran 2 runs with 15 vials each</t>
  </si>
  <si>
    <t>G8</t>
  </si>
  <si>
    <t>G9</t>
  </si>
  <si>
    <t>Low Population  also shown in Learning and memory flies</t>
  </si>
  <si>
    <t>G10</t>
  </si>
  <si>
    <t>G11</t>
  </si>
  <si>
    <t>G12</t>
  </si>
  <si>
    <t>G13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</si>
</sst>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3" borderId="0" xfId="0" applyFill="1" applyAlignment="1">
      <alignment horizontal="right"/>
    </xf>
    <xf numFmtId="0" fontId="0" fillId="0" borderId="0" xfId="0" applyAlignment="1">
      <alignment horizontal="right"/>
    </xf>
    <xf numFmtId="0" fontId="0" fillId="4" borderId="2" xfId="0" applyFill="1" applyBorder="1" applyAlignment="1">
      <alignment horizontal="right" vertical="center"/>
    </xf>
    <xf numFmtId="0" fontId="0" fillId="4" borderId="2" xfId="0" applyFill="1" applyBorder="1" applyAlignment="1">
      <alignment horizontal="right"/>
    </xf>
    <xf numFmtId="0" fontId="0" fillId="3" borderId="2" xfId="0" applyFill="1" applyBorder="1" applyAlignment="1">
      <alignment horizontal="right" vertical="center"/>
    </xf>
    <xf numFmtId="0" fontId="0" fillId="3" borderId="2" xfId="0" applyFill="1" applyBorder="1" applyAlignment="1">
      <alignment horizontal="right"/>
    </xf>
    <xf numFmtId="0" fontId="0" fillId="0" borderId="2" xfId="0" applyBorder="1" applyAlignment="1">
      <alignment horizontal="right"/>
    </xf>
    <xf numFmtId="0" fontId="0" fillId="3" borderId="2" xfId="0" applyFill="1" applyBorder="1"/>
    <xf numFmtId="0" fontId="0" fillId="0" borderId="2" xfId="0" applyBorder="1"/>
    <xf numFmtId="0" fontId="0" fillId="4" borderId="2" xfId="0" applyFill="1" applyBorder="1"/>
    <xf numFmtId="0" fontId="1" fillId="2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/>
    <xf numFmtId="0" fontId="0" fillId="5" borderId="2" xfId="0" applyFill="1" applyBorder="1" applyAlignment="1">
      <alignment horizontal="right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70"/>
  <sheetViews>
    <sheetView tabSelected="1" workbookViewId="0">
      <pane ySplit="1" topLeftCell="A11" activePane="bottomLeft" state="frozen"/>
      <selection pane="bottomLeft" activeCell="D40" sqref="D40"/>
    </sheetView>
  </sheetViews>
  <sheetFormatPr defaultColWidth="8.85546875" defaultRowHeight="15" x14ac:dyDescent="0.25"/>
  <cols>
    <col min="4" max="4" width="13.7109375" bestFit="1" customWidth="1"/>
    <col min="6" max="6" width="13.7109375" customWidth="1"/>
    <col min="41" max="41" width="52.42578125" bestFit="1" customWidth="1"/>
  </cols>
  <sheetData>
    <row r="1" spans="1:63" s="1" customFormat="1" x14ac:dyDescent="0.25">
      <c r="A1" s="12" t="s">
        <v>0</v>
      </c>
      <c r="B1" s="12" t="s">
        <v>1</v>
      </c>
      <c r="C1" s="12" t="s">
        <v>2</v>
      </c>
      <c r="D1" s="12" t="s">
        <v>3</v>
      </c>
      <c r="E1" s="12" t="s">
        <v>5</v>
      </c>
      <c r="F1" s="12" t="s">
        <v>4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3" t="s">
        <v>40</v>
      </c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</row>
    <row r="2" spans="1:63" s="2" customFormat="1" x14ac:dyDescent="0.25">
      <c r="A2" s="6">
        <v>4</v>
      </c>
      <c r="B2" s="6">
        <v>18</v>
      </c>
      <c r="C2" s="6">
        <v>2023</v>
      </c>
      <c r="D2" s="6">
        <v>1</v>
      </c>
      <c r="E2" s="6" t="s">
        <v>42</v>
      </c>
      <c r="F2" s="6" t="s">
        <v>41</v>
      </c>
      <c r="G2" s="6">
        <v>1</v>
      </c>
      <c r="H2" s="6">
        <v>309</v>
      </c>
      <c r="I2" s="6">
        <v>98</v>
      </c>
      <c r="J2" s="6">
        <v>15</v>
      </c>
      <c r="K2" s="6">
        <v>3</v>
      </c>
      <c r="L2" s="6">
        <v>3</v>
      </c>
      <c r="M2" s="6">
        <v>1</v>
      </c>
      <c r="N2" s="6">
        <v>0</v>
      </c>
      <c r="O2" s="6">
        <v>2</v>
      </c>
      <c r="P2" s="6">
        <v>0</v>
      </c>
      <c r="Q2" s="6">
        <v>2</v>
      </c>
      <c r="R2" s="6">
        <v>2</v>
      </c>
      <c r="S2" s="6">
        <v>1</v>
      </c>
      <c r="T2" s="6">
        <v>2</v>
      </c>
      <c r="U2" s="6">
        <v>2</v>
      </c>
      <c r="V2" s="6">
        <v>0</v>
      </c>
      <c r="W2" s="6">
        <v>2</v>
      </c>
      <c r="X2" s="6">
        <v>0</v>
      </c>
      <c r="Y2" s="6">
        <v>1</v>
      </c>
      <c r="Z2" s="6">
        <v>0</v>
      </c>
      <c r="AA2" s="6">
        <v>0</v>
      </c>
      <c r="AB2" s="6">
        <v>0</v>
      </c>
      <c r="AC2" s="6">
        <v>1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  <c r="AK2" s="6">
        <v>0</v>
      </c>
      <c r="AL2" s="6">
        <v>0</v>
      </c>
      <c r="AM2" s="6">
        <v>0</v>
      </c>
      <c r="AN2" s="15">
        <f>SUM(H2:AM2)</f>
        <v>444</v>
      </c>
      <c r="AO2" s="7" t="s">
        <v>43</v>
      </c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</row>
    <row r="3" spans="1:63" s="3" customFormat="1" x14ac:dyDescent="0.25">
      <c r="A3" s="4">
        <v>4</v>
      </c>
      <c r="B3" s="4">
        <v>19</v>
      </c>
      <c r="C3" s="4">
        <v>2023</v>
      </c>
      <c r="D3" s="4">
        <v>1</v>
      </c>
      <c r="E3" s="4" t="s">
        <v>44</v>
      </c>
      <c r="F3" s="4" t="s">
        <v>41</v>
      </c>
      <c r="G3" s="4">
        <v>1</v>
      </c>
      <c r="H3" s="4">
        <v>1695</v>
      </c>
      <c r="I3" s="4">
        <v>205</v>
      </c>
      <c r="J3" s="4">
        <v>22</v>
      </c>
      <c r="K3" s="4">
        <v>7</v>
      </c>
      <c r="L3" s="4">
        <v>4</v>
      </c>
      <c r="M3" s="4">
        <v>3</v>
      </c>
      <c r="N3" s="4">
        <v>4</v>
      </c>
      <c r="O3" s="4">
        <v>3</v>
      </c>
      <c r="P3" s="4">
        <v>0</v>
      </c>
      <c r="Q3" s="4">
        <v>1</v>
      </c>
      <c r="R3" s="4">
        <v>1</v>
      </c>
      <c r="S3" s="4">
        <v>2</v>
      </c>
      <c r="T3" s="4">
        <v>1</v>
      </c>
      <c r="U3" s="4">
        <v>1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2</v>
      </c>
      <c r="AB3" s="4">
        <v>0</v>
      </c>
      <c r="AC3" s="4">
        <v>0</v>
      </c>
      <c r="AD3" s="4">
        <v>0</v>
      </c>
      <c r="AE3" s="4">
        <v>0</v>
      </c>
      <c r="AF3" s="4">
        <v>1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15">
        <f t="shared" ref="AN3:AN40" si="0">SUM(H3:AM3)</f>
        <v>1952</v>
      </c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8"/>
      <c r="BD3" s="8"/>
      <c r="BE3" s="8"/>
      <c r="BF3" s="8"/>
      <c r="BG3" s="8"/>
      <c r="BH3" s="8"/>
      <c r="BI3" s="8"/>
      <c r="BJ3" s="8"/>
      <c r="BK3" s="8"/>
    </row>
    <row r="4" spans="1:63" s="3" customFormat="1" x14ac:dyDescent="0.25">
      <c r="A4" s="5">
        <v>4</v>
      </c>
      <c r="B4" s="5">
        <v>19</v>
      </c>
      <c r="C4" s="5">
        <v>2023</v>
      </c>
      <c r="D4" s="5">
        <v>1</v>
      </c>
      <c r="E4" s="5" t="s">
        <v>45</v>
      </c>
      <c r="F4" s="5" t="s">
        <v>41</v>
      </c>
      <c r="G4" s="4">
        <v>1</v>
      </c>
      <c r="H4" s="4">
        <v>1273</v>
      </c>
      <c r="I4" s="4">
        <v>279</v>
      </c>
      <c r="J4" s="4">
        <v>85</v>
      </c>
      <c r="K4" s="4">
        <v>40</v>
      </c>
      <c r="L4" s="4">
        <v>13</v>
      </c>
      <c r="M4" s="4">
        <v>10</v>
      </c>
      <c r="N4" s="4">
        <v>10</v>
      </c>
      <c r="O4" s="4">
        <v>5</v>
      </c>
      <c r="P4" s="4">
        <v>0</v>
      </c>
      <c r="Q4" s="4">
        <v>6</v>
      </c>
      <c r="R4" s="4">
        <v>2</v>
      </c>
      <c r="S4" s="4">
        <v>1</v>
      </c>
      <c r="T4" s="4">
        <v>1</v>
      </c>
      <c r="U4" s="4">
        <v>1</v>
      </c>
      <c r="V4" s="4">
        <v>3</v>
      </c>
      <c r="W4" s="4">
        <v>0</v>
      </c>
      <c r="X4" s="4">
        <v>1</v>
      </c>
      <c r="Y4" s="4">
        <v>0</v>
      </c>
      <c r="Z4" s="4">
        <v>0</v>
      </c>
      <c r="AA4" s="4">
        <v>0</v>
      </c>
      <c r="AB4" s="4">
        <v>0</v>
      </c>
      <c r="AC4" s="4">
        <v>1</v>
      </c>
      <c r="AD4" s="4">
        <v>0</v>
      </c>
      <c r="AE4" s="4">
        <v>1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15">
        <f t="shared" si="0"/>
        <v>1732</v>
      </c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8"/>
      <c r="BD4" s="8"/>
      <c r="BE4" s="8"/>
      <c r="BF4" s="8"/>
      <c r="BG4" s="8"/>
      <c r="BH4" s="8"/>
      <c r="BI4" s="8"/>
      <c r="BJ4" s="8"/>
      <c r="BK4" s="8"/>
    </row>
    <row r="5" spans="1:63" s="3" customFormat="1" x14ac:dyDescent="0.25">
      <c r="A5" s="5">
        <v>4</v>
      </c>
      <c r="B5" s="5">
        <v>20</v>
      </c>
      <c r="C5" s="5">
        <v>2023</v>
      </c>
      <c r="D5" s="5">
        <v>1</v>
      </c>
      <c r="E5" s="5" t="s">
        <v>46</v>
      </c>
      <c r="F5" s="5" t="s">
        <v>41</v>
      </c>
      <c r="G5" s="4">
        <v>1</v>
      </c>
      <c r="H5" s="4">
        <v>652</v>
      </c>
      <c r="I5" s="4">
        <v>88</v>
      </c>
      <c r="J5" s="4">
        <v>14</v>
      </c>
      <c r="K5" s="4">
        <v>2</v>
      </c>
      <c r="L5" s="4">
        <v>3</v>
      </c>
      <c r="M5" s="4">
        <v>0</v>
      </c>
      <c r="N5" s="4">
        <v>2</v>
      </c>
      <c r="O5" s="4">
        <v>4</v>
      </c>
      <c r="P5" s="4">
        <v>1</v>
      </c>
      <c r="Q5" s="4">
        <v>2</v>
      </c>
      <c r="R5" s="4">
        <v>0</v>
      </c>
      <c r="S5" s="4">
        <v>0</v>
      </c>
      <c r="T5" s="4">
        <v>2</v>
      </c>
      <c r="U5" s="4">
        <v>1</v>
      </c>
      <c r="V5" s="4">
        <v>2</v>
      </c>
      <c r="W5" s="4">
        <v>2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1</v>
      </c>
      <c r="AN5" s="15">
        <f t="shared" si="0"/>
        <v>776</v>
      </c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8"/>
      <c r="BD5" s="8"/>
      <c r="BE5" s="8"/>
      <c r="BF5" s="8"/>
      <c r="BG5" s="8"/>
      <c r="BH5" s="8"/>
      <c r="BI5" s="8"/>
      <c r="BJ5" s="8"/>
      <c r="BK5" s="8"/>
    </row>
    <row r="6" spans="1:63" s="2" customFormat="1" x14ac:dyDescent="0.25">
      <c r="A6" s="6">
        <v>4</v>
      </c>
      <c r="B6" s="6">
        <v>21</v>
      </c>
      <c r="C6" s="6">
        <v>2023</v>
      </c>
      <c r="D6" s="6">
        <v>1</v>
      </c>
      <c r="E6" s="6" t="s">
        <v>42</v>
      </c>
      <c r="F6" s="6" t="s">
        <v>41</v>
      </c>
      <c r="G6" s="6">
        <v>1</v>
      </c>
      <c r="H6" s="7">
        <v>171</v>
      </c>
      <c r="I6" s="7">
        <v>14</v>
      </c>
      <c r="J6" s="7">
        <v>0</v>
      </c>
      <c r="K6" s="7">
        <v>5</v>
      </c>
      <c r="L6" s="7">
        <v>1</v>
      </c>
      <c r="M6" s="7">
        <v>1</v>
      </c>
      <c r="N6" s="7">
        <v>0</v>
      </c>
      <c r="O6" s="7">
        <v>0</v>
      </c>
      <c r="P6" s="7">
        <v>1</v>
      </c>
      <c r="Q6" s="7">
        <v>1</v>
      </c>
      <c r="R6" s="7">
        <v>0</v>
      </c>
      <c r="S6" s="7">
        <v>0</v>
      </c>
      <c r="T6" s="7">
        <v>1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  <c r="AK6" s="7">
        <v>0</v>
      </c>
      <c r="AL6" s="7">
        <v>0</v>
      </c>
      <c r="AM6" s="7">
        <v>0</v>
      </c>
      <c r="AN6" s="15">
        <f t="shared" si="0"/>
        <v>195</v>
      </c>
      <c r="AO6" s="7" t="s">
        <v>47</v>
      </c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</row>
    <row r="7" spans="1:63" s="2" customFormat="1" x14ac:dyDescent="0.25">
      <c r="A7" s="6">
        <v>5</v>
      </c>
      <c r="B7" s="6">
        <v>9</v>
      </c>
      <c r="C7" s="6">
        <v>2023</v>
      </c>
      <c r="D7" s="6">
        <v>2</v>
      </c>
      <c r="E7" s="6" t="s">
        <v>44</v>
      </c>
      <c r="F7" s="6" t="s">
        <v>48</v>
      </c>
      <c r="G7" s="7">
        <v>1</v>
      </c>
      <c r="H7" s="7">
        <v>484</v>
      </c>
      <c r="I7" s="7">
        <v>108</v>
      </c>
      <c r="J7" s="7">
        <v>27</v>
      </c>
      <c r="K7" s="7">
        <v>20</v>
      </c>
      <c r="L7" s="7">
        <v>6</v>
      </c>
      <c r="M7" s="7">
        <v>5</v>
      </c>
      <c r="N7" s="7">
        <v>5</v>
      </c>
      <c r="O7" s="7">
        <v>8</v>
      </c>
      <c r="P7" s="7">
        <v>4</v>
      </c>
      <c r="Q7" s="7">
        <v>8</v>
      </c>
      <c r="R7" s="7">
        <v>4</v>
      </c>
      <c r="S7" s="7">
        <v>4</v>
      </c>
      <c r="T7" s="7">
        <v>0</v>
      </c>
      <c r="U7" s="7">
        <v>1</v>
      </c>
      <c r="V7" s="7">
        <v>1</v>
      </c>
      <c r="W7" s="7">
        <v>0</v>
      </c>
      <c r="X7" s="7">
        <v>2</v>
      </c>
      <c r="Y7" s="7">
        <v>0</v>
      </c>
      <c r="Z7" s="7">
        <v>2</v>
      </c>
      <c r="AA7" s="7">
        <v>0</v>
      </c>
      <c r="AB7" s="7">
        <v>3</v>
      </c>
      <c r="AC7" s="7">
        <v>1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  <c r="AK7" s="7">
        <v>0</v>
      </c>
      <c r="AL7" s="7">
        <v>0</v>
      </c>
      <c r="AM7" s="7">
        <v>0</v>
      </c>
      <c r="AN7" s="15">
        <f t="shared" si="0"/>
        <v>693</v>
      </c>
      <c r="AO7" s="7" t="s">
        <v>49</v>
      </c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</row>
    <row r="8" spans="1:63" s="2" customFormat="1" x14ac:dyDescent="0.25">
      <c r="A8" s="6">
        <v>5</v>
      </c>
      <c r="B8" s="6">
        <v>9</v>
      </c>
      <c r="C8" s="6">
        <v>2023</v>
      </c>
      <c r="D8" s="6">
        <v>2</v>
      </c>
      <c r="E8" s="6" t="s">
        <v>44</v>
      </c>
      <c r="F8" s="6" t="s">
        <v>48</v>
      </c>
      <c r="G8" s="7">
        <v>2</v>
      </c>
      <c r="H8" s="6">
        <v>622</v>
      </c>
      <c r="I8" s="6">
        <v>115</v>
      </c>
      <c r="J8" s="6">
        <v>39</v>
      </c>
      <c r="K8" s="6">
        <v>26</v>
      </c>
      <c r="L8" s="6">
        <v>17</v>
      </c>
      <c r="M8" s="6">
        <v>16</v>
      </c>
      <c r="N8" s="6">
        <v>10</v>
      </c>
      <c r="O8" s="6">
        <v>12</v>
      </c>
      <c r="P8" s="6">
        <v>3</v>
      </c>
      <c r="Q8" s="6">
        <v>2</v>
      </c>
      <c r="R8" s="6">
        <v>5</v>
      </c>
      <c r="S8" s="6">
        <v>1</v>
      </c>
      <c r="T8" s="6">
        <v>1</v>
      </c>
      <c r="U8" s="6">
        <v>4</v>
      </c>
      <c r="V8" s="6">
        <v>3</v>
      </c>
      <c r="W8" s="6">
        <v>1</v>
      </c>
      <c r="X8" s="6">
        <v>1</v>
      </c>
      <c r="Y8" s="6">
        <v>3</v>
      </c>
      <c r="Z8" s="6">
        <v>0</v>
      </c>
      <c r="AA8" s="6">
        <v>0</v>
      </c>
      <c r="AB8" s="6">
        <v>1</v>
      </c>
      <c r="AC8" s="6">
        <v>0</v>
      </c>
      <c r="AD8" s="6">
        <v>0</v>
      </c>
      <c r="AE8" s="6">
        <v>1</v>
      </c>
      <c r="AF8" s="6">
        <v>1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15">
        <f t="shared" si="0"/>
        <v>884</v>
      </c>
      <c r="AO8" s="7" t="s">
        <v>49</v>
      </c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</row>
    <row r="9" spans="1:63" s="3" customFormat="1" x14ac:dyDescent="0.25">
      <c r="A9" s="4">
        <v>5</v>
      </c>
      <c r="B9" s="4">
        <v>10</v>
      </c>
      <c r="C9" s="4">
        <v>2023</v>
      </c>
      <c r="D9" s="4">
        <v>2</v>
      </c>
      <c r="E9" s="4" t="s">
        <v>45</v>
      </c>
      <c r="F9" s="4" t="s">
        <v>48</v>
      </c>
      <c r="G9" s="4">
        <v>1</v>
      </c>
      <c r="H9" s="4">
        <v>1289</v>
      </c>
      <c r="I9" s="4">
        <v>246</v>
      </c>
      <c r="J9" s="4">
        <v>35</v>
      </c>
      <c r="K9" s="4">
        <v>16</v>
      </c>
      <c r="L9" s="4">
        <v>3</v>
      </c>
      <c r="M9" s="4">
        <v>2</v>
      </c>
      <c r="N9" s="4">
        <v>3</v>
      </c>
      <c r="O9" s="4">
        <v>2</v>
      </c>
      <c r="P9" s="4">
        <v>1</v>
      </c>
      <c r="Q9" s="4">
        <v>0</v>
      </c>
      <c r="R9" s="4">
        <v>0</v>
      </c>
      <c r="S9" s="4">
        <v>0</v>
      </c>
      <c r="T9" s="4">
        <v>0</v>
      </c>
      <c r="U9" s="4">
        <v>1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15">
        <f t="shared" si="0"/>
        <v>1598</v>
      </c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8"/>
      <c r="BD9" s="8"/>
      <c r="BE9" s="8"/>
      <c r="BF9" s="8"/>
      <c r="BG9" s="8"/>
      <c r="BH9" s="8"/>
      <c r="BI9" s="8"/>
      <c r="BJ9" s="8"/>
      <c r="BK9" s="8"/>
    </row>
    <row r="10" spans="1:63" s="2" customFormat="1" x14ac:dyDescent="0.25">
      <c r="A10" s="6">
        <v>5</v>
      </c>
      <c r="B10" s="6">
        <v>11</v>
      </c>
      <c r="C10" s="6">
        <v>2023</v>
      </c>
      <c r="D10" s="7">
        <v>2</v>
      </c>
      <c r="E10" s="6" t="s">
        <v>46</v>
      </c>
      <c r="F10" s="7" t="s">
        <v>48</v>
      </c>
      <c r="G10" s="9">
        <v>1</v>
      </c>
      <c r="H10" s="6">
        <v>780</v>
      </c>
      <c r="I10" s="6">
        <v>127</v>
      </c>
      <c r="J10" s="6">
        <v>14</v>
      </c>
      <c r="K10" s="6">
        <v>10</v>
      </c>
      <c r="L10" s="6">
        <v>3</v>
      </c>
      <c r="M10" s="6">
        <v>1</v>
      </c>
      <c r="N10" s="6">
        <v>3</v>
      </c>
      <c r="O10" s="6">
        <v>0</v>
      </c>
      <c r="P10" s="6">
        <v>1</v>
      </c>
      <c r="Q10" s="6">
        <v>0</v>
      </c>
      <c r="R10" s="6">
        <v>1</v>
      </c>
      <c r="S10" s="6">
        <v>1</v>
      </c>
      <c r="T10" s="6">
        <v>0</v>
      </c>
      <c r="U10" s="6">
        <v>0</v>
      </c>
      <c r="V10" s="6">
        <v>0</v>
      </c>
      <c r="W10" s="6">
        <v>0</v>
      </c>
      <c r="X10" s="6">
        <v>1</v>
      </c>
      <c r="Y10" s="6">
        <v>1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1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15">
        <f t="shared" si="0"/>
        <v>944</v>
      </c>
      <c r="AO10" s="7" t="s">
        <v>49</v>
      </c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</row>
    <row r="11" spans="1:63" s="2" customFormat="1" x14ac:dyDescent="0.25">
      <c r="A11" s="6">
        <v>5</v>
      </c>
      <c r="B11" s="6">
        <v>11</v>
      </c>
      <c r="C11" s="6">
        <v>2023</v>
      </c>
      <c r="D11" s="7">
        <v>2</v>
      </c>
      <c r="E11" s="6" t="s">
        <v>46</v>
      </c>
      <c r="F11" s="7" t="s">
        <v>48</v>
      </c>
      <c r="G11" s="9">
        <v>2</v>
      </c>
      <c r="H11" s="6">
        <v>578</v>
      </c>
      <c r="I11" s="6">
        <v>131</v>
      </c>
      <c r="J11" s="6">
        <v>33</v>
      </c>
      <c r="K11" s="6">
        <v>28</v>
      </c>
      <c r="L11" s="6">
        <v>19</v>
      </c>
      <c r="M11" s="6">
        <v>1</v>
      </c>
      <c r="N11" s="6">
        <v>8</v>
      </c>
      <c r="O11" s="6">
        <v>11</v>
      </c>
      <c r="P11" s="6">
        <v>10</v>
      </c>
      <c r="Q11" s="6">
        <v>7</v>
      </c>
      <c r="R11" s="6">
        <v>3</v>
      </c>
      <c r="S11" s="6">
        <v>6</v>
      </c>
      <c r="T11" s="6">
        <v>4</v>
      </c>
      <c r="U11" s="6">
        <v>0</v>
      </c>
      <c r="V11" s="6">
        <v>2</v>
      </c>
      <c r="W11" s="6">
        <v>0</v>
      </c>
      <c r="X11" s="6">
        <v>3</v>
      </c>
      <c r="Y11" s="6">
        <v>0</v>
      </c>
      <c r="Z11" s="6">
        <v>0</v>
      </c>
      <c r="AA11" s="6">
        <v>1</v>
      </c>
      <c r="AB11" s="6">
        <v>0</v>
      </c>
      <c r="AC11" s="6">
        <v>0</v>
      </c>
      <c r="AD11" s="6">
        <v>1</v>
      </c>
      <c r="AE11" s="6">
        <v>1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15">
        <f t="shared" si="0"/>
        <v>847</v>
      </c>
      <c r="AO11" s="7" t="s">
        <v>49</v>
      </c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</row>
    <row r="12" spans="1:63" s="3" customFormat="1" x14ac:dyDescent="0.25">
      <c r="A12" s="4">
        <v>5</v>
      </c>
      <c r="B12" s="4">
        <v>12</v>
      </c>
      <c r="C12" s="4">
        <v>2023</v>
      </c>
      <c r="D12" s="5">
        <v>2</v>
      </c>
      <c r="E12" s="5" t="s">
        <v>42</v>
      </c>
      <c r="F12" s="5" t="s">
        <v>48</v>
      </c>
      <c r="G12" s="4">
        <v>1</v>
      </c>
      <c r="H12" s="4">
        <v>1421</v>
      </c>
      <c r="I12" s="4">
        <v>217</v>
      </c>
      <c r="J12" s="4">
        <v>29</v>
      </c>
      <c r="K12" s="4">
        <v>7</v>
      </c>
      <c r="L12" s="4">
        <v>6</v>
      </c>
      <c r="M12" s="4">
        <v>2</v>
      </c>
      <c r="N12" s="4">
        <v>1</v>
      </c>
      <c r="O12" s="4">
        <v>1</v>
      </c>
      <c r="P12" s="4">
        <v>2</v>
      </c>
      <c r="Q12" s="4">
        <v>1</v>
      </c>
      <c r="R12" s="4">
        <v>1</v>
      </c>
      <c r="S12" s="4">
        <v>2</v>
      </c>
      <c r="T12" s="4">
        <v>1</v>
      </c>
      <c r="U12" s="4">
        <v>1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1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15">
        <f t="shared" si="0"/>
        <v>1693</v>
      </c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8"/>
      <c r="BD12" s="8"/>
      <c r="BE12" s="8"/>
      <c r="BF12" s="8"/>
      <c r="BG12" s="8"/>
      <c r="BH12" s="8"/>
      <c r="BI12" s="8"/>
      <c r="BJ12" s="8"/>
      <c r="BK12" s="8"/>
    </row>
    <row r="13" spans="1:63" s="3" customFormat="1" x14ac:dyDescent="0.25">
      <c r="A13" s="4">
        <v>5</v>
      </c>
      <c r="B13" s="4">
        <v>30</v>
      </c>
      <c r="C13" s="4">
        <v>2023</v>
      </c>
      <c r="D13" s="5">
        <v>3</v>
      </c>
      <c r="E13" s="5" t="s">
        <v>44</v>
      </c>
      <c r="F13" s="5" t="s">
        <v>50</v>
      </c>
      <c r="G13" s="4">
        <v>1</v>
      </c>
      <c r="H13" s="4">
        <v>1432</v>
      </c>
      <c r="I13" s="4">
        <v>313</v>
      </c>
      <c r="J13" s="4">
        <v>36</v>
      </c>
      <c r="K13" s="4">
        <v>6</v>
      </c>
      <c r="L13" s="4">
        <v>7</v>
      </c>
      <c r="M13" s="4">
        <v>4</v>
      </c>
      <c r="N13" s="4">
        <v>2</v>
      </c>
      <c r="O13" s="4">
        <v>1</v>
      </c>
      <c r="P13" s="4">
        <v>0</v>
      </c>
      <c r="Q13" s="4">
        <v>1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1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15">
        <f t="shared" si="0"/>
        <v>1803</v>
      </c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8"/>
      <c r="BD13" s="8"/>
      <c r="BE13" s="8"/>
      <c r="BF13" s="8"/>
      <c r="BG13" s="8"/>
      <c r="BH13" s="8"/>
      <c r="BI13" s="8"/>
      <c r="BJ13" s="8"/>
      <c r="BK13" s="8"/>
    </row>
    <row r="14" spans="1:63" s="3" customFormat="1" x14ac:dyDescent="0.25">
      <c r="A14" s="4">
        <v>5</v>
      </c>
      <c r="B14" s="4">
        <v>31</v>
      </c>
      <c r="C14" s="4">
        <v>2023</v>
      </c>
      <c r="D14" s="4">
        <v>3</v>
      </c>
      <c r="E14" s="4" t="s">
        <v>45</v>
      </c>
      <c r="F14" s="4" t="s">
        <v>50</v>
      </c>
      <c r="G14" s="4">
        <v>1</v>
      </c>
      <c r="H14" s="4">
        <v>2241</v>
      </c>
      <c r="I14" s="4">
        <v>631</v>
      </c>
      <c r="J14" s="4">
        <v>126</v>
      </c>
      <c r="K14" s="4">
        <v>37</v>
      </c>
      <c r="L14" s="4">
        <v>18</v>
      </c>
      <c r="M14" s="4">
        <v>8</v>
      </c>
      <c r="N14" s="4">
        <v>9</v>
      </c>
      <c r="O14" s="4">
        <v>8</v>
      </c>
      <c r="P14" s="4">
        <v>2</v>
      </c>
      <c r="Q14" s="4">
        <v>9</v>
      </c>
      <c r="R14" s="4">
        <v>3</v>
      </c>
      <c r="S14" s="4">
        <v>1</v>
      </c>
      <c r="T14" s="4">
        <v>1</v>
      </c>
      <c r="U14" s="4">
        <v>3</v>
      </c>
      <c r="V14" s="4">
        <v>2</v>
      </c>
      <c r="W14" s="4">
        <v>1</v>
      </c>
      <c r="X14" s="4">
        <v>2</v>
      </c>
      <c r="Y14" s="4">
        <v>1</v>
      </c>
      <c r="Z14" s="4">
        <v>2</v>
      </c>
      <c r="AA14" s="4">
        <v>5</v>
      </c>
      <c r="AB14" s="4">
        <v>0</v>
      </c>
      <c r="AC14" s="4">
        <v>0</v>
      </c>
      <c r="AD14" s="4">
        <v>0</v>
      </c>
      <c r="AE14" s="4">
        <v>0</v>
      </c>
      <c r="AF14" s="4">
        <v>1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1</v>
      </c>
      <c r="AM14" s="4">
        <v>0</v>
      </c>
      <c r="AN14" s="15">
        <f t="shared" si="0"/>
        <v>3112</v>
      </c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8"/>
      <c r="BD14" s="8"/>
      <c r="BE14" s="8"/>
      <c r="BF14" s="8"/>
      <c r="BG14" s="8"/>
      <c r="BH14" s="8"/>
      <c r="BI14" s="8"/>
      <c r="BJ14" s="8"/>
      <c r="BK14" s="8"/>
    </row>
    <row r="15" spans="1:63" s="3" customFormat="1" x14ac:dyDescent="0.25">
      <c r="A15" s="4">
        <v>6</v>
      </c>
      <c r="B15" s="4">
        <v>1</v>
      </c>
      <c r="C15" s="4">
        <v>2023</v>
      </c>
      <c r="D15" s="4">
        <v>3</v>
      </c>
      <c r="E15" s="4" t="s">
        <v>46</v>
      </c>
      <c r="F15" s="4" t="s">
        <v>50</v>
      </c>
      <c r="G15" s="4">
        <v>1</v>
      </c>
      <c r="H15" s="4">
        <v>2120</v>
      </c>
      <c r="I15" s="4">
        <v>527</v>
      </c>
      <c r="J15" s="4">
        <v>49</v>
      </c>
      <c r="K15" s="4">
        <v>17</v>
      </c>
      <c r="L15" s="4">
        <v>7</v>
      </c>
      <c r="M15" s="4">
        <v>3</v>
      </c>
      <c r="N15" s="4">
        <v>3</v>
      </c>
      <c r="O15" s="4">
        <v>2</v>
      </c>
      <c r="P15" s="4">
        <v>0</v>
      </c>
      <c r="Q15" s="4">
        <v>0</v>
      </c>
      <c r="R15" s="4">
        <v>1</v>
      </c>
      <c r="S15" s="4">
        <v>0</v>
      </c>
      <c r="T15" s="4">
        <v>0</v>
      </c>
      <c r="U15" s="4">
        <v>1</v>
      </c>
      <c r="V15" s="4">
        <v>0</v>
      </c>
      <c r="W15" s="4">
        <v>1</v>
      </c>
      <c r="X15" s="4">
        <v>3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1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15">
        <f t="shared" si="0"/>
        <v>2735</v>
      </c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10"/>
      <c r="BC15" s="8"/>
      <c r="BD15" s="8"/>
      <c r="BE15" s="8"/>
      <c r="BF15" s="8"/>
      <c r="BG15" s="8"/>
      <c r="BH15" s="8"/>
      <c r="BI15" s="8"/>
      <c r="BJ15" s="8"/>
      <c r="BK15" s="8"/>
    </row>
    <row r="16" spans="1:63" s="3" customFormat="1" x14ac:dyDescent="0.25">
      <c r="A16" s="4">
        <v>6</v>
      </c>
      <c r="B16" s="4">
        <v>2</v>
      </c>
      <c r="C16" s="4">
        <v>2023</v>
      </c>
      <c r="D16" s="4">
        <v>3</v>
      </c>
      <c r="E16" s="4" t="s">
        <v>42</v>
      </c>
      <c r="F16" s="4" t="s">
        <v>50</v>
      </c>
      <c r="G16" s="4">
        <v>1</v>
      </c>
      <c r="H16" s="4">
        <v>2161</v>
      </c>
      <c r="I16" s="4">
        <v>484</v>
      </c>
      <c r="J16" s="4">
        <v>64</v>
      </c>
      <c r="K16" s="4">
        <v>22</v>
      </c>
      <c r="L16" s="4">
        <v>9</v>
      </c>
      <c r="M16" s="4">
        <v>9</v>
      </c>
      <c r="N16" s="4">
        <v>5</v>
      </c>
      <c r="O16" s="4">
        <v>2</v>
      </c>
      <c r="P16" s="4">
        <v>4</v>
      </c>
      <c r="Q16" s="4">
        <v>5</v>
      </c>
      <c r="R16" s="4">
        <v>0</v>
      </c>
      <c r="S16" s="4">
        <v>0</v>
      </c>
      <c r="T16" s="4">
        <v>0</v>
      </c>
      <c r="U16" s="4">
        <v>0</v>
      </c>
      <c r="V16" s="4">
        <v>1</v>
      </c>
      <c r="W16" s="4">
        <v>1</v>
      </c>
      <c r="X16" s="4">
        <v>1</v>
      </c>
      <c r="Y16" s="4">
        <v>1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15">
        <f t="shared" si="0"/>
        <v>2769</v>
      </c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8"/>
      <c r="BD16" s="8"/>
      <c r="BE16" s="8"/>
      <c r="BF16" s="8"/>
      <c r="BG16" s="8"/>
      <c r="BH16" s="8"/>
      <c r="BI16" s="8"/>
      <c r="BJ16" s="8"/>
      <c r="BK16" s="8"/>
    </row>
    <row r="17" spans="1:63" x14ac:dyDescent="0.25">
      <c r="A17" s="4">
        <v>6</v>
      </c>
      <c r="B17" s="4">
        <v>20</v>
      </c>
      <c r="C17" s="4">
        <v>2023</v>
      </c>
      <c r="D17" s="4">
        <v>4</v>
      </c>
      <c r="E17" s="4" t="s">
        <v>44</v>
      </c>
      <c r="F17" s="4" t="s">
        <v>51</v>
      </c>
      <c r="G17" s="4">
        <v>1</v>
      </c>
      <c r="H17" s="4">
        <v>1411</v>
      </c>
      <c r="I17" s="4">
        <v>245</v>
      </c>
      <c r="J17" s="4">
        <v>61</v>
      </c>
      <c r="K17" s="4">
        <v>22</v>
      </c>
      <c r="L17" s="4">
        <v>12</v>
      </c>
      <c r="M17" s="4">
        <v>6</v>
      </c>
      <c r="N17" s="4">
        <v>3</v>
      </c>
      <c r="O17" s="4">
        <v>6</v>
      </c>
      <c r="P17" s="4">
        <v>2</v>
      </c>
      <c r="Q17" s="4">
        <v>5</v>
      </c>
      <c r="R17" s="4">
        <v>3</v>
      </c>
      <c r="S17" s="4">
        <v>1</v>
      </c>
      <c r="T17" s="4">
        <v>2</v>
      </c>
      <c r="U17" s="4">
        <v>4</v>
      </c>
      <c r="V17" s="4">
        <v>0</v>
      </c>
      <c r="W17" s="4">
        <v>0</v>
      </c>
      <c r="X17" s="4">
        <v>2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1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15">
        <f t="shared" si="0"/>
        <v>1786</v>
      </c>
      <c r="AO17" s="5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0"/>
      <c r="BD17" s="10"/>
      <c r="BE17" s="10"/>
      <c r="BF17" s="10"/>
      <c r="BG17" s="10"/>
      <c r="BH17" s="10"/>
      <c r="BI17" s="10"/>
      <c r="BJ17" s="10"/>
      <c r="BK17" s="10"/>
    </row>
    <row r="18" spans="1:63" x14ac:dyDescent="0.25">
      <c r="A18" s="4">
        <v>6</v>
      </c>
      <c r="B18" s="4">
        <v>21</v>
      </c>
      <c r="C18" s="4">
        <v>2023</v>
      </c>
      <c r="D18" s="4">
        <v>4</v>
      </c>
      <c r="E18" s="4" t="s">
        <v>45</v>
      </c>
      <c r="F18" s="4" t="s">
        <v>51</v>
      </c>
      <c r="G18" s="4">
        <v>1</v>
      </c>
      <c r="H18" s="4">
        <v>944</v>
      </c>
      <c r="I18" s="4">
        <v>234</v>
      </c>
      <c r="J18" s="4">
        <v>34</v>
      </c>
      <c r="K18" s="4">
        <v>11</v>
      </c>
      <c r="L18" s="4">
        <v>6</v>
      </c>
      <c r="M18" s="4">
        <v>2</v>
      </c>
      <c r="N18" s="4">
        <v>6</v>
      </c>
      <c r="O18" s="4">
        <v>4</v>
      </c>
      <c r="P18" s="4">
        <v>5</v>
      </c>
      <c r="Q18" s="4">
        <v>5</v>
      </c>
      <c r="R18" s="4">
        <v>1</v>
      </c>
      <c r="S18" s="4">
        <v>0</v>
      </c>
      <c r="T18" s="4">
        <v>1</v>
      </c>
      <c r="U18" s="4">
        <v>0</v>
      </c>
      <c r="V18" s="4">
        <v>0</v>
      </c>
      <c r="W18" s="4">
        <v>0</v>
      </c>
      <c r="X18" s="4">
        <v>0</v>
      </c>
      <c r="Y18" s="4">
        <v>1</v>
      </c>
      <c r="Z18" s="4">
        <v>0</v>
      </c>
      <c r="AA18" s="4">
        <v>0</v>
      </c>
      <c r="AB18" s="4">
        <v>0</v>
      </c>
      <c r="AC18" s="4">
        <v>0</v>
      </c>
      <c r="AD18" s="4">
        <v>2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15">
        <f t="shared" si="0"/>
        <v>1256</v>
      </c>
      <c r="AO18" s="5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0"/>
      <c r="BD18" s="10"/>
      <c r="BE18" s="10"/>
      <c r="BF18" s="10"/>
      <c r="BG18" s="10"/>
      <c r="BH18" s="10"/>
      <c r="BI18" s="10"/>
      <c r="BJ18" s="10"/>
      <c r="BK18" s="10"/>
    </row>
    <row r="19" spans="1:63" x14ac:dyDescent="0.25">
      <c r="A19" s="4">
        <v>6</v>
      </c>
      <c r="B19" s="4">
        <v>22</v>
      </c>
      <c r="C19" s="4">
        <v>2023</v>
      </c>
      <c r="D19" s="4">
        <v>4</v>
      </c>
      <c r="E19" s="4" t="s">
        <v>46</v>
      </c>
      <c r="F19" s="4" t="s">
        <v>51</v>
      </c>
      <c r="G19" s="4">
        <v>1</v>
      </c>
      <c r="H19" s="4">
        <v>1138</v>
      </c>
      <c r="I19" s="4">
        <v>240</v>
      </c>
      <c r="J19" s="4">
        <v>30</v>
      </c>
      <c r="K19" s="4">
        <v>13</v>
      </c>
      <c r="L19" s="4">
        <v>3</v>
      </c>
      <c r="M19" s="4">
        <v>2</v>
      </c>
      <c r="N19" s="4">
        <v>5</v>
      </c>
      <c r="O19" s="4">
        <v>1</v>
      </c>
      <c r="P19" s="4">
        <v>3</v>
      </c>
      <c r="Q19" s="4">
        <v>4</v>
      </c>
      <c r="R19" s="4">
        <v>3</v>
      </c>
      <c r="S19" s="4">
        <v>5</v>
      </c>
      <c r="T19" s="4">
        <v>1</v>
      </c>
      <c r="U19" s="4">
        <v>0</v>
      </c>
      <c r="V19" s="4">
        <v>1</v>
      </c>
      <c r="W19" s="4">
        <v>0</v>
      </c>
      <c r="X19" s="4">
        <v>1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15">
        <f t="shared" si="0"/>
        <v>1450</v>
      </c>
      <c r="AO19" s="5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0"/>
      <c r="BD19" s="10"/>
      <c r="BE19" s="10"/>
      <c r="BF19" s="10"/>
      <c r="BG19" s="10"/>
      <c r="BH19" s="10"/>
      <c r="BI19" s="10"/>
      <c r="BJ19" s="10"/>
      <c r="BK19" s="10"/>
    </row>
    <row r="20" spans="1:63" x14ac:dyDescent="0.25">
      <c r="A20" s="4">
        <v>6</v>
      </c>
      <c r="B20" s="4">
        <v>23</v>
      </c>
      <c r="C20" s="4">
        <v>2023</v>
      </c>
      <c r="D20" s="4">
        <v>4</v>
      </c>
      <c r="E20" s="4" t="s">
        <v>42</v>
      </c>
      <c r="F20" s="4" t="s">
        <v>51</v>
      </c>
      <c r="G20" s="4">
        <v>1</v>
      </c>
      <c r="H20" s="4">
        <v>481</v>
      </c>
      <c r="I20" s="4">
        <v>103</v>
      </c>
      <c r="J20" s="4">
        <v>30</v>
      </c>
      <c r="K20" s="4">
        <v>7</v>
      </c>
      <c r="L20" s="4">
        <v>4</v>
      </c>
      <c r="M20" s="4">
        <v>4</v>
      </c>
      <c r="N20" s="4">
        <v>1</v>
      </c>
      <c r="O20" s="4">
        <v>4</v>
      </c>
      <c r="P20" s="4">
        <v>3</v>
      </c>
      <c r="Q20" s="4">
        <v>2</v>
      </c>
      <c r="R20" s="4">
        <v>1</v>
      </c>
      <c r="S20" s="4">
        <v>1</v>
      </c>
      <c r="T20" s="4">
        <v>0</v>
      </c>
      <c r="U20" s="4">
        <v>1</v>
      </c>
      <c r="V20" s="4">
        <v>1</v>
      </c>
      <c r="W20" s="4">
        <v>0</v>
      </c>
      <c r="X20" s="4">
        <v>1</v>
      </c>
      <c r="Y20" s="4">
        <v>0</v>
      </c>
      <c r="Z20" s="4">
        <v>2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15">
        <f t="shared" si="0"/>
        <v>646</v>
      </c>
      <c r="AO20" s="5" t="s">
        <v>52</v>
      </c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0"/>
      <c r="BD20" s="10"/>
      <c r="BE20" s="10"/>
      <c r="BF20" s="10"/>
      <c r="BG20" s="10"/>
      <c r="BH20" s="10"/>
      <c r="BI20" s="10"/>
      <c r="BJ20" s="10"/>
      <c r="BK20" s="10"/>
    </row>
    <row r="21" spans="1:63" x14ac:dyDescent="0.25">
      <c r="A21" s="4">
        <v>7</v>
      </c>
      <c r="B21" s="4">
        <v>11</v>
      </c>
      <c r="C21" s="4">
        <v>2023</v>
      </c>
      <c r="D21" s="4">
        <v>5</v>
      </c>
      <c r="E21" s="4" t="s">
        <v>44</v>
      </c>
      <c r="F21" s="4" t="s">
        <v>53</v>
      </c>
      <c r="G21" s="4">
        <v>1</v>
      </c>
      <c r="H21" s="4">
        <v>1261</v>
      </c>
      <c r="I21" s="4">
        <v>261</v>
      </c>
      <c r="J21" s="4">
        <v>49</v>
      </c>
      <c r="K21" s="4">
        <v>15</v>
      </c>
      <c r="L21" s="4">
        <v>11</v>
      </c>
      <c r="M21" s="4">
        <v>6</v>
      </c>
      <c r="N21" s="4">
        <v>3</v>
      </c>
      <c r="O21" s="4">
        <v>4</v>
      </c>
      <c r="P21" s="4">
        <v>4</v>
      </c>
      <c r="Q21" s="4">
        <v>2</v>
      </c>
      <c r="R21" s="4">
        <v>9</v>
      </c>
      <c r="S21" s="4">
        <v>2</v>
      </c>
      <c r="T21" s="4">
        <v>0</v>
      </c>
      <c r="U21" s="4">
        <v>2</v>
      </c>
      <c r="V21" s="4">
        <v>3</v>
      </c>
      <c r="W21" s="4">
        <v>1</v>
      </c>
      <c r="X21" s="4">
        <v>3</v>
      </c>
      <c r="Y21" s="4">
        <v>0</v>
      </c>
      <c r="Z21" s="4">
        <v>1</v>
      </c>
      <c r="AA21" s="4">
        <v>0</v>
      </c>
      <c r="AB21" s="4">
        <v>0</v>
      </c>
      <c r="AC21" s="4">
        <v>1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1</v>
      </c>
      <c r="AK21" s="4">
        <v>0</v>
      </c>
      <c r="AL21" s="4">
        <v>0</v>
      </c>
      <c r="AM21" s="4">
        <v>1</v>
      </c>
      <c r="AN21" s="15">
        <f t="shared" si="0"/>
        <v>1640</v>
      </c>
      <c r="AO21" s="5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0"/>
      <c r="BD21" s="10"/>
      <c r="BE21" s="10"/>
      <c r="BF21" s="10"/>
      <c r="BG21" s="10"/>
      <c r="BH21" s="10"/>
      <c r="BI21" s="10"/>
      <c r="BJ21" s="10"/>
      <c r="BK21" s="10"/>
    </row>
    <row r="22" spans="1:63" x14ac:dyDescent="0.25">
      <c r="A22" s="4">
        <v>7</v>
      </c>
      <c r="B22" s="4">
        <v>12</v>
      </c>
      <c r="C22" s="4">
        <v>2023</v>
      </c>
      <c r="D22" s="4">
        <v>5</v>
      </c>
      <c r="E22" s="4" t="s">
        <v>45</v>
      </c>
      <c r="F22" s="4" t="s">
        <v>53</v>
      </c>
      <c r="G22" s="4">
        <v>1</v>
      </c>
      <c r="H22" s="4">
        <v>1443</v>
      </c>
      <c r="I22" s="4">
        <v>254</v>
      </c>
      <c r="J22" s="4">
        <v>39</v>
      </c>
      <c r="K22" s="4">
        <v>7</v>
      </c>
      <c r="L22" s="4">
        <v>15</v>
      </c>
      <c r="M22" s="4">
        <v>8</v>
      </c>
      <c r="N22" s="4">
        <v>3</v>
      </c>
      <c r="O22" s="4">
        <v>1</v>
      </c>
      <c r="P22" s="4">
        <v>1</v>
      </c>
      <c r="Q22" s="4">
        <v>1</v>
      </c>
      <c r="R22" s="4">
        <v>4</v>
      </c>
      <c r="S22" s="4">
        <v>1</v>
      </c>
      <c r="T22" s="4">
        <v>1</v>
      </c>
      <c r="U22" s="4">
        <v>3</v>
      </c>
      <c r="V22" s="4">
        <v>3</v>
      </c>
      <c r="W22" s="4">
        <v>1</v>
      </c>
      <c r="X22" s="4">
        <v>3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1</v>
      </c>
      <c r="AI22" s="4">
        <v>0</v>
      </c>
      <c r="AJ22" s="4">
        <v>0</v>
      </c>
      <c r="AK22" s="4">
        <v>0</v>
      </c>
      <c r="AL22" s="4">
        <v>0</v>
      </c>
      <c r="AM22" s="4">
        <v>1</v>
      </c>
      <c r="AN22" s="15">
        <f t="shared" si="0"/>
        <v>1790</v>
      </c>
      <c r="AO22" s="5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0"/>
      <c r="BD22" s="10"/>
      <c r="BE22" s="10"/>
      <c r="BF22" s="10"/>
      <c r="BG22" s="10"/>
      <c r="BH22" s="10"/>
      <c r="BI22" s="10"/>
      <c r="BJ22" s="10"/>
      <c r="BK22" s="10"/>
    </row>
    <row r="23" spans="1:63" x14ac:dyDescent="0.25">
      <c r="A23" s="4">
        <v>7</v>
      </c>
      <c r="B23" s="4">
        <v>13</v>
      </c>
      <c r="C23" s="4">
        <v>2023</v>
      </c>
      <c r="D23" s="4">
        <v>5</v>
      </c>
      <c r="E23" s="4" t="s">
        <v>46</v>
      </c>
      <c r="F23" s="4" t="s">
        <v>53</v>
      </c>
      <c r="G23" s="4">
        <v>1</v>
      </c>
      <c r="H23" s="4">
        <v>1601</v>
      </c>
      <c r="I23" s="4">
        <v>443</v>
      </c>
      <c r="J23" s="4">
        <v>87</v>
      </c>
      <c r="K23" s="4">
        <v>30</v>
      </c>
      <c r="L23" s="4">
        <v>20</v>
      </c>
      <c r="M23" s="4">
        <v>18</v>
      </c>
      <c r="N23" s="4">
        <v>11</v>
      </c>
      <c r="O23" s="4">
        <v>18</v>
      </c>
      <c r="P23" s="4">
        <v>12</v>
      </c>
      <c r="Q23" s="4">
        <v>5</v>
      </c>
      <c r="R23" s="4">
        <v>7</v>
      </c>
      <c r="S23" s="4">
        <v>4</v>
      </c>
      <c r="T23" s="4">
        <v>11</v>
      </c>
      <c r="U23" s="4">
        <v>2</v>
      </c>
      <c r="V23" s="4">
        <v>2</v>
      </c>
      <c r="W23" s="4">
        <v>0</v>
      </c>
      <c r="X23" s="4">
        <v>1</v>
      </c>
      <c r="Y23" s="4">
        <v>1</v>
      </c>
      <c r="Z23" s="4">
        <v>1</v>
      </c>
      <c r="AA23" s="4">
        <v>0</v>
      </c>
      <c r="AB23" s="4">
        <v>1</v>
      </c>
      <c r="AC23" s="4">
        <v>1</v>
      </c>
      <c r="AD23" s="4">
        <v>1</v>
      </c>
      <c r="AE23" s="4">
        <v>3</v>
      </c>
      <c r="AF23" s="4">
        <v>1</v>
      </c>
      <c r="AG23" s="4">
        <v>0</v>
      </c>
      <c r="AH23" s="4">
        <v>1</v>
      </c>
      <c r="AI23" s="4">
        <v>2</v>
      </c>
      <c r="AJ23" s="4">
        <v>0</v>
      </c>
      <c r="AK23" s="4">
        <v>0</v>
      </c>
      <c r="AL23" s="4">
        <v>1</v>
      </c>
      <c r="AM23" s="4">
        <v>0</v>
      </c>
      <c r="AN23" s="15">
        <f t="shared" si="0"/>
        <v>2285</v>
      </c>
      <c r="AO23" s="5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0"/>
      <c r="BD23" s="10"/>
      <c r="BE23" s="10"/>
      <c r="BF23" s="10"/>
      <c r="BG23" s="10"/>
      <c r="BH23" s="10"/>
      <c r="BI23" s="10"/>
      <c r="BJ23" s="10"/>
      <c r="BK23" s="10"/>
    </row>
    <row r="24" spans="1:63" x14ac:dyDescent="0.25">
      <c r="A24" s="4">
        <v>7</v>
      </c>
      <c r="B24" s="4">
        <v>14</v>
      </c>
      <c r="C24" s="4">
        <v>2023</v>
      </c>
      <c r="D24" s="4">
        <v>5</v>
      </c>
      <c r="E24" s="4" t="s">
        <v>42</v>
      </c>
      <c r="F24" s="4" t="s">
        <v>53</v>
      </c>
      <c r="G24" s="4">
        <v>1</v>
      </c>
      <c r="H24" s="4">
        <v>1175</v>
      </c>
      <c r="I24" s="4">
        <v>248</v>
      </c>
      <c r="J24" s="4">
        <v>47</v>
      </c>
      <c r="K24" s="4">
        <v>26</v>
      </c>
      <c r="L24" s="4">
        <v>11</v>
      </c>
      <c r="M24" s="4">
        <v>10</v>
      </c>
      <c r="N24" s="4">
        <v>11</v>
      </c>
      <c r="O24" s="4">
        <v>6</v>
      </c>
      <c r="P24" s="4">
        <v>9</v>
      </c>
      <c r="Q24" s="4">
        <v>11</v>
      </c>
      <c r="R24" s="4">
        <v>5</v>
      </c>
      <c r="S24" s="4">
        <v>5</v>
      </c>
      <c r="T24" s="4">
        <v>4</v>
      </c>
      <c r="U24" s="4">
        <v>3</v>
      </c>
      <c r="V24" s="4">
        <v>0</v>
      </c>
      <c r="W24" s="4">
        <v>0</v>
      </c>
      <c r="X24" s="4">
        <v>2</v>
      </c>
      <c r="Y24" s="4">
        <v>0</v>
      </c>
      <c r="Z24" s="4">
        <v>2</v>
      </c>
      <c r="AA24" s="4">
        <v>0</v>
      </c>
      <c r="AB24" s="4">
        <v>0</v>
      </c>
      <c r="AC24" s="4">
        <v>1</v>
      </c>
      <c r="AD24" s="4">
        <v>1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15">
        <f t="shared" si="0"/>
        <v>1577</v>
      </c>
      <c r="AO24" s="5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0"/>
      <c r="BD24" s="10"/>
      <c r="BE24" s="10"/>
      <c r="BF24" s="10"/>
      <c r="BG24" s="10"/>
      <c r="BH24" s="10"/>
      <c r="BI24" s="10"/>
      <c r="BJ24" s="10"/>
      <c r="BK24" s="10"/>
    </row>
    <row r="25" spans="1:63" s="16" customFormat="1" x14ac:dyDescent="0.25">
      <c r="A25" s="6">
        <v>8</v>
      </c>
      <c r="B25" s="6">
        <v>1</v>
      </c>
      <c r="C25" s="6">
        <v>2023</v>
      </c>
      <c r="D25" s="6">
        <v>6</v>
      </c>
      <c r="E25" s="6" t="s">
        <v>44</v>
      </c>
      <c r="F25" s="6" t="s">
        <v>54</v>
      </c>
      <c r="G25" s="6">
        <v>1</v>
      </c>
      <c r="H25" s="6">
        <v>725</v>
      </c>
      <c r="I25" s="6">
        <v>97</v>
      </c>
      <c r="J25" s="6">
        <v>22</v>
      </c>
      <c r="K25" s="6">
        <v>5</v>
      </c>
      <c r="L25" s="6">
        <v>3</v>
      </c>
      <c r="M25" s="6">
        <v>2</v>
      </c>
      <c r="N25" s="6">
        <v>3</v>
      </c>
      <c r="O25" s="6">
        <v>5</v>
      </c>
      <c r="P25" s="6">
        <v>2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1</v>
      </c>
      <c r="W25" s="6">
        <v>0</v>
      </c>
      <c r="X25" s="6">
        <v>0</v>
      </c>
      <c r="Y25" s="6">
        <v>0</v>
      </c>
      <c r="Z25" s="6">
        <v>0</v>
      </c>
      <c r="AA25" s="6">
        <v>1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f>SUM(H25:AM25)</f>
        <v>866</v>
      </c>
      <c r="AO25" s="7" t="s">
        <v>49</v>
      </c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</row>
    <row r="26" spans="1:63" s="16" customFormat="1" x14ac:dyDescent="0.25">
      <c r="A26" s="6">
        <v>8</v>
      </c>
      <c r="B26" s="6">
        <v>1</v>
      </c>
      <c r="C26" s="6">
        <v>2023</v>
      </c>
      <c r="D26" s="6">
        <v>6</v>
      </c>
      <c r="E26" s="6" t="s">
        <v>44</v>
      </c>
      <c r="F26" s="6" t="s">
        <v>54</v>
      </c>
      <c r="G26" s="6">
        <v>2</v>
      </c>
      <c r="H26" s="6">
        <v>653</v>
      </c>
      <c r="I26" s="6">
        <v>76</v>
      </c>
      <c r="J26" s="6">
        <v>21</v>
      </c>
      <c r="K26" s="6">
        <v>18</v>
      </c>
      <c r="L26" s="6">
        <v>6</v>
      </c>
      <c r="M26" s="6">
        <v>11</v>
      </c>
      <c r="N26" s="6">
        <v>6</v>
      </c>
      <c r="O26" s="6">
        <v>3</v>
      </c>
      <c r="P26" s="6">
        <v>3</v>
      </c>
      <c r="Q26" s="6">
        <v>3</v>
      </c>
      <c r="R26" s="6">
        <v>2</v>
      </c>
      <c r="S26" s="6">
        <v>2</v>
      </c>
      <c r="T26" s="6">
        <v>1</v>
      </c>
      <c r="U26" s="6">
        <v>1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f t="shared" si="0"/>
        <v>806</v>
      </c>
      <c r="AO26" s="7" t="s">
        <v>49</v>
      </c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</row>
    <row r="27" spans="1:63" s="16" customFormat="1" x14ac:dyDescent="0.25">
      <c r="A27" s="6">
        <v>8</v>
      </c>
      <c r="B27" s="6">
        <v>2</v>
      </c>
      <c r="C27" s="6">
        <v>2023</v>
      </c>
      <c r="D27" s="6">
        <v>6</v>
      </c>
      <c r="E27" s="6" t="s">
        <v>45</v>
      </c>
      <c r="F27" s="6" t="s">
        <v>54</v>
      </c>
      <c r="G27" s="6">
        <v>1</v>
      </c>
      <c r="H27" s="6">
        <v>439</v>
      </c>
      <c r="I27" s="6">
        <v>144</v>
      </c>
      <c r="J27" s="6">
        <v>32</v>
      </c>
      <c r="K27" s="6">
        <v>9</v>
      </c>
      <c r="L27" s="6">
        <v>8</v>
      </c>
      <c r="M27" s="6">
        <v>3</v>
      </c>
      <c r="N27" s="6">
        <v>1</v>
      </c>
      <c r="O27" s="6">
        <v>1</v>
      </c>
      <c r="P27" s="6">
        <v>2</v>
      </c>
      <c r="Q27" s="6">
        <v>1</v>
      </c>
      <c r="R27" s="6">
        <v>0</v>
      </c>
      <c r="S27" s="6">
        <v>0</v>
      </c>
      <c r="T27" s="6">
        <v>1</v>
      </c>
      <c r="U27" s="6">
        <v>1</v>
      </c>
      <c r="V27" s="6">
        <v>0</v>
      </c>
      <c r="W27" s="6">
        <v>0</v>
      </c>
      <c r="X27" s="6">
        <v>0</v>
      </c>
      <c r="Y27" s="6">
        <v>0</v>
      </c>
      <c r="Z27" s="6">
        <v>1</v>
      </c>
      <c r="AA27" s="6">
        <v>0</v>
      </c>
      <c r="AB27" s="6">
        <v>1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f t="shared" si="0"/>
        <v>644</v>
      </c>
      <c r="AO27" s="7" t="s">
        <v>49</v>
      </c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</row>
    <row r="28" spans="1:63" s="16" customFormat="1" x14ac:dyDescent="0.25">
      <c r="A28" s="6">
        <v>8</v>
      </c>
      <c r="B28" s="6">
        <v>2</v>
      </c>
      <c r="C28" s="6">
        <v>2023</v>
      </c>
      <c r="D28" s="6">
        <v>6</v>
      </c>
      <c r="E28" s="6" t="s">
        <v>45</v>
      </c>
      <c r="F28" s="6" t="s">
        <v>54</v>
      </c>
      <c r="G28" s="6">
        <v>2</v>
      </c>
      <c r="H28" s="6">
        <v>445</v>
      </c>
      <c r="I28" s="6">
        <v>64</v>
      </c>
      <c r="J28" s="6">
        <v>12</v>
      </c>
      <c r="K28" s="6">
        <v>19</v>
      </c>
      <c r="L28" s="6">
        <v>7</v>
      </c>
      <c r="M28" s="6">
        <v>10</v>
      </c>
      <c r="N28" s="6">
        <v>5</v>
      </c>
      <c r="O28" s="6">
        <v>5</v>
      </c>
      <c r="P28" s="6">
        <v>7</v>
      </c>
      <c r="Q28" s="6">
        <v>3</v>
      </c>
      <c r="R28" s="6">
        <v>2</v>
      </c>
      <c r="S28" s="6">
        <v>1</v>
      </c>
      <c r="T28" s="6">
        <v>2</v>
      </c>
      <c r="U28" s="6">
        <v>1</v>
      </c>
      <c r="V28" s="6">
        <v>3</v>
      </c>
      <c r="W28" s="6">
        <v>0</v>
      </c>
      <c r="X28" s="6">
        <v>0</v>
      </c>
      <c r="Y28" s="6">
        <v>0</v>
      </c>
      <c r="Z28" s="6">
        <v>0</v>
      </c>
      <c r="AA28" s="6">
        <v>1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f t="shared" si="0"/>
        <v>587</v>
      </c>
      <c r="AO28" s="7" t="s">
        <v>49</v>
      </c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</row>
    <row r="29" spans="1:63" s="16" customFormat="1" x14ac:dyDescent="0.25">
      <c r="A29" s="6">
        <v>8</v>
      </c>
      <c r="B29" s="6">
        <v>3</v>
      </c>
      <c r="C29" s="6">
        <v>2023</v>
      </c>
      <c r="D29" s="6">
        <v>6</v>
      </c>
      <c r="E29" s="6" t="s">
        <v>46</v>
      </c>
      <c r="F29" s="6" t="s">
        <v>54</v>
      </c>
      <c r="G29" s="6">
        <v>1</v>
      </c>
      <c r="H29" s="6">
        <v>654</v>
      </c>
      <c r="I29" s="6">
        <v>81</v>
      </c>
      <c r="J29" s="6">
        <v>14</v>
      </c>
      <c r="K29" s="6">
        <v>5</v>
      </c>
      <c r="L29" s="6">
        <v>6</v>
      </c>
      <c r="M29" s="6">
        <v>2</v>
      </c>
      <c r="N29" s="6">
        <v>5</v>
      </c>
      <c r="O29" s="6">
        <v>0</v>
      </c>
      <c r="P29" s="6">
        <v>1</v>
      </c>
      <c r="Q29" s="6">
        <v>0</v>
      </c>
      <c r="R29" s="6">
        <v>1</v>
      </c>
      <c r="S29" s="6">
        <v>1</v>
      </c>
      <c r="T29" s="6">
        <v>1</v>
      </c>
      <c r="U29" s="6">
        <v>1</v>
      </c>
      <c r="V29" s="6">
        <v>0</v>
      </c>
      <c r="W29" s="6">
        <v>1</v>
      </c>
      <c r="X29" s="6">
        <v>1</v>
      </c>
      <c r="Y29" s="6">
        <v>1</v>
      </c>
      <c r="Z29" s="6">
        <v>0</v>
      </c>
      <c r="AA29" s="6">
        <v>0</v>
      </c>
      <c r="AB29" s="6">
        <v>1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1</v>
      </c>
      <c r="AK29" s="6">
        <v>0</v>
      </c>
      <c r="AL29" s="6">
        <v>0</v>
      </c>
      <c r="AM29" s="6">
        <v>0</v>
      </c>
      <c r="AN29" s="6">
        <f t="shared" si="0"/>
        <v>777</v>
      </c>
      <c r="AO29" s="7" t="s">
        <v>49</v>
      </c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</row>
    <row r="30" spans="1:63" s="16" customFormat="1" x14ac:dyDescent="0.25">
      <c r="A30" s="6">
        <v>8</v>
      </c>
      <c r="B30" s="6">
        <v>3</v>
      </c>
      <c r="C30" s="6">
        <v>2023</v>
      </c>
      <c r="D30" s="6">
        <v>6</v>
      </c>
      <c r="E30" s="6" t="s">
        <v>46</v>
      </c>
      <c r="F30" s="6" t="s">
        <v>54</v>
      </c>
      <c r="G30" s="6">
        <v>2</v>
      </c>
      <c r="H30" s="6">
        <v>617</v>
      </c>
      <c r="I30" s="6">
        <v>105</v>
      </c>
      <c r="J30" s="6">
        <v>29</v>
      </c>
      <c r="K30" s="6">
        <v>18</v>
      </c>
      <c r="L30" s="6">
        <v>19</v>
      </c>
      <c r="M30" s="6">
        <v>7</v>
      </c>
      <c r="N30" s="6">
        <v>10</v>
      </c>
      <c r="O30" s="6">
        <v>4</v>
      </c>
      <c r="P30" s="6">
        <v>3</v>
      </c>
      <c r="Q30" s="6">
        <v>6</v>
      </c>
      <c r="R30" s="6">
        <v>2</v>
      </c>
      <c r="S30" s="6">
        <v>6</v>
      </c>
      <c r="T30" s="6">
        <v>6</v>
      </c>
      <c r="U30" s="6">
        <v>1</v>
      </c>
      <c r="V30" s="6">
        <v>12</v>
      </c>
      <c r="W30" s="6">
        <v>3</v>
      </c>
      <c r="X30" s="6">
        <v>0</v>
      </c>
      <c r="Y30" s="6">
        <v>2</v>
      </c>
      <c r="Z30" s="6">
        <v>0</v>
      </c>
      <c r="AA30" s="6">
        <v>1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1</v>
      </c>
      <c r="AK30" s="6">
        <v>0</v>
      </c>
      <c r="AL30" s="6">
        <v>0</v>
      </c>
      <c r="AM30" s="6">
        <v>0</v>
      </c>
      <c r="AN30" s="6">
        <f t="shared" si="0"/>
        <v>852</v>
      </c>
      <c r="AO30" s="7" t="s">
        <v>49</v>
      </c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</row>
    <row r="31" spans="1:63" s="16" customFormat="1" x14ac:dyDescent="0.25">
      <c r="A31" s="6">
        <v>8</v>
      </c>
      <c r="B31" s="6">
        <v>4</v>
      </c>
      <c r="C31" s="6">
        <v>2023</v>
      </c>
      <c r="D31" s="6">
        <v>6</v>
      </c>
      <c r="E31" s="6" t="s">
        <v>42</v>
      </c>
      <c r="F31" s="6" t="s">
        <v>54</v>
      </c>
      <c r="G31" s="6">
        <v>1</v>
      </c>
      <c r="H31" s="6">
        <v>521</v>
      </c>
      <c r="I31" s="6">
        <v>86</v>
      </c>
      <c r="J31" s="6">
        <v>11</v>
      </c>
      <c r="K31" s="6">
        <v>10</v>
      </c>
      <c r="L31" s="6">
        <v>1</v>
      </c>
      <c r="M31" s="6">
        <v>7</v>
      </c>
      <c r="N31" s="6">
        <v>0</v>
      </c>
      <c r="O31" s="6">
        <v>1</v>
      </c>
      <c r="P31" s="6">
        <v>3</v>
      </c>
      <c r="Q31" s="6">
        <v>2</v>
      </c>
      <c r="R31" s="6">
        <v>1</v>
      </c>
      <c r="S31" s="6">
        <v>1</v>
      </c>
      <c r="T31" s="6">
        <v>2</v>
      </c>
      <c r="U31" s="6">
        <v>0</v>
      </c>
      <c r="V31" s="6">
        <v>1</v>
      </c>
      <c r="W31" s="6">
        <v>1</v>
      </c>
      <c r="X31" s="6">
        <v>0</v>
      </c>
      <c r="Y31" s="6">
        <v>0</v>
      </c>
      <c r="Z31" s="6">
        <v>0</v>
      </c>
      <c r="AA31" s="6">
        <v>1</v>
      </c>
      <c r="AB31" s="6">
        <v>2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f t="shared" si="0"/>
        <v>651</v>
      </c>
      <c r="AO31" s="7" t="s">
        <v>49</v>
      </c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</row>
    <row r="32" spans="1:63" s="16" customFormat="1" x14ac:dyDescent="0.25">
      <c r="A32" s="6">
        <v>8</v>
      </c>
      <c r="B32" s="6">
        <v>4</v>
      </c>
      <c r="C32" s="6">
        <v>2023</v>
      </c>
      <c r="D32" s="6">
        <v>6</v>
      </c>
      <c r="E32" s="6" t="s">
        <v>42</v>
      </c>
      <c r="F32" s="6" t="s">
        <v>54</v>
      </c>
      <c r="G32" s="6">
        <v>2</v>
      </c>
      <c r="H32" s="6">
        <v>506</v>
      </c>
      <c r="I32" s="6">
        <v>87</v>
      </c>
      <c r="J32" s="6">
        <v>17</v>
      </c>
      <c r="K32" s="6">
        <v>12</v>
      </c>
      <c r="L32" s="6">
        <v>6</v>
      </c>
      <c r="M32" s="6">
        <v>5</v>
      </c>
      <c r="N32" s="6">
        <v>5</v>
      </c>
      <c r="O32" s="6">
        <v>1</v>
      </c>
      <c r="P32" s="6">
        <v>0</v>
      </c>
      <c r="Q32" s="6">
        <v>2</v>
      </c>
      <c r="R32" s="6">
        <v>5</v>
      </c>
      <c r="S32" s="6">
        <v>1</v>
      </c>
      <c r="T32" s="6">
        <v>5</v>
      </c>
      <c r="U32" s="6">
        <v>1</v>
      </c>
      <c r="V32" s="6">
        <v>2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1</v>
      </c>
      <c r="AD32" s="6">
        <v>0</v>
      </c>
      <c r="AE32" s="6">
        <v>0</v>
      </c>
      <c r="AF32" s="6">
        <v>1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f t="shared" si="0"/>
        <v>657</v>
      </c>
      <c r="AO32" s="7" t="s">
        <v>49</v>
      </c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</row>
    <row r="33" spans="1:63" x14ac:dyDescent="0.25">
      <c r="A33" s="4">
        <v>8</v>
      </c>
      <c r="B33" s="4">
        <v>21</v>
      </c>
      <c r="C33" s="4">
        <v>2023</v>
      </c>
      <c r="D33" s="4">
        <v>7</v>
      </c>
      <c r="E33" s="4" t="s">
        <v>44</v>
      </c>
      <c r="F33" s="4" t="s">
        <v>55</v>
      </c>
      <c r="G33" s="4">
        <v>1</v>
      </c>
      <c r="H33" s="4">
        <v>1692</v>
      </c>
      <c r="I33" s="4">
        <v>371</v>
      </c>
      <c r="J33" s="4">
        <v>84</v>
      </c>
      <c r="K33" s="4">
        <v>15</v>
      </c>
      <c r="L33" s="4">
        <v>12</v>
      </c>
      <c r="M33" s="4">
        <v>23</v>
      </c>
      <c r="N33" s="4">
        <v>13</v>
      </c>
      <c r="O33" s="4">
        <v>5</v>
      </c>
      <c r="P33" s="4">
        <v>6</v>
      </c>
      <c r="Q33" s="4">
        <v>7</v>
      </c>
      <c r="R33" s="4">
        <v>3</v>
      </c>
      <c r="S33" s="4">
        <v>2</v>
      </c>
      <c r="T33" s="4">
        <v>2</v>
      </c>
      <c r="U33" s="4">
        <v>3</v>
      </c>
      <c r="V33" s="4">
        <v>0</v>
      </c>
      <c r="W33" s="4">
        <v>0</v>
      </c>
      <c r="X33" s="4">
        <v>1</v>
      </c>
      <c r="Y33" s="4">
        <v>1</v>
      </c>
      <c r="Z33" s="4">
        <v>1</v>
      </c>
      <c r="AA33" s="4">
        <v>1</v>
      </c>
      <c r="AB33" s="4">
        <v>1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15">
        <f t="shared" si="0"/>
        <v>2243</v>
      </c>
      <c r="AO33" s="5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0"/>
      <c r="BD33" s="10"/>
      <c r="BE33" s="10"/>
      <c r="BF33" s="10"/>
      <c r="BG33" s="10"/>
      <c r="BH33" s="10"/>
      <c r="BI33" s="10"/>
      <c r="BJ33" s="10"/>
      <c r="BK33" s="10"/>
    </row>
    <row r="34" spans="1:63" x14ac:dyDescent="0.25">
      <c r="A34" s="4">
        <v>8</v>
      </c>
      <c r="B34" s="4">
        <v>22</v>
      </c>
      <c r="C34" s="4">
        <v>2023</v>
      </c>
      <c r="D34" s="4">
        <v>7</v>
      </c>
      <c r="E34" s="4" t="s">
        <v>45</v>
      </c>
      <c r="F34" s="4" t="s">
        <v>55</v>
      </c>
      <c r="G34" s="4">
        <v>1</v>
      </c>
      <c r="H34" s="5">
        <v>1478</v>
      </c>
      <c r="I34" s="5">
        <v>416</v>
      </c>
      <c r="J34" s="5">
        <v>103</v>
      </c>
      <c r="K34" s="5">
        <v>30</v>
      </c>
      <c r="L34" s="5">
        <v>22</v>
      </c>
      <c r="M34" s="5">
        <v>12</v>
      </c>
      <c r="N34" s="5">
        <v>12</v>
      </c>
      <c r="O34" s="5">
        <v>8</v>
      </c>
      <c r="P34" s="5">
        <v>13</v>
      </c>
      <c r="Q34" s="5">
        <v>9</v>
      </c>
      <c r="R34" s="5">
        <v>4</v>
      </c>
      <c r="S34" s="5">
        <v>5</v>
      </c>
      <c r="T34" s="5">
        <v>0</v>
      </c>
      <c r="U34" s="5">
        <v>2</v>
      </c>
      <c r="V34" s="5">
        <v>0</v>
      </c>
      <c r="W34" s="5">
        <v>1</v>
      </c>
      <c r="X34" s="5">
        <v>0</v>
      </c>
      <c r="Y34" s="5">
        <v>1</v>
      </c>
      <c r="Z34" s="5">
        <v>0</v>
      </c>
      <c r="AA34" s="5">
        <v>0</v>
      </c>
      <c r="AB34" s="5">
        <v>0</v>
      </c>
      <c r="AC34" s="5">
        <v>0</v>
      </c>
      <c r="AD34" s="5">
        <v>1</v>
      </c>
      <c r="AE34" s="5">
        <v>0</v>
      </c>
      <c r="AF34" s="5">
        <v>0</v>
      </c>
      <c r="AG34" s="5">
        <v>0</v>
      </c>
      <c r="AH34" s="5">
        <v>0</v>
      </c>
      <c r="AI34" s="5">
        <v>0</v>
      </c>
      <c r="AJ34" s="5">
        <v>0</v>
      </c>
      <c r="AK34" s="5">
        <v>0</v>
      </c>
      <c r="AL34" s="5">
        <v>0</v>
      </c>
      <c r="AM34" s="5">
        <v>0</v>
      </c>
      <c r="AN34" s="15">
        <f t="shared" si="0"/>
        <v>2117</v>
      </c>
      <c r="AO34" s="5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0"/>
      <c r="BD34" s="10"/>
      <c r="BE34" s="10"/>
      <c r="BF34" s="10"/>
      <c r="BG34" s="10"/>
      <c r="BH34" s="10"/>
      <c r="BI34" s="10"/>
      <c r="BJ34" s="10"/>
      <c r="BK34" s="10"/>
    </row>
    <row r="35" spans="1:63" x14ac:dyDescent="0.25">
      <c r="A35" s="4">
        <v>8</v>
      </c>
      <c r="B35" s="4">
        <v>23</v>
      </c>
      <c r="C35" s="4">
        <v>2023</v>
      </c>
      <c r="D35" s="4">
        <v>7</v>
      </c>
      <c r="E35" s="4" t="s">
        <v>46</v>
      </c>
      <c r="F35" s="4" t="s">
        <v>55</v>
      </c>
      <c r="G35" s="4">
        <v>1</v>
      </c>
      <c r="H35" s="5">
        <v>1670</v>
      </c>
      <c r="I35" s="5">
        <v>492</v>
      </c>
      <c r="J35" s="5">
        <v>83</v>
      </c>
      <c r="K35" s="5">
        <v>25</v>
      </c>
      <c r="L35" s="5">
        <v>11</v>
      </c>
      <c r="M35" s="5">
        <v>7</v>
      </c>
      <c r="N35" s="5">
        <v>3</v>
      </c>
      <c r="O35" s="5">
        <v>2</v>
      </c>
      <c r="P35" s="5">
        <v>4</v>
      </c>
      <c r="Q35" s="5">
        <v>0</v>
      </c>
      <c r="R35" s="5">
        <v>4</v>
      </c>
      <c r="S35" s="5">
        <v>1</v>
      </c>
      <c r="T35" s="5">
        <v>4</v>
      </c>
      <c r="U35" s="5">
        <v>1</v>
      </c>
      <c r="V35" s="5">
        <v>1</v>
      </c>
      <c r="W35" s="5">
        <v>15</v>
      </c>
      <c r="X35" s="5">
        <v>0</v>
      </c>
      <c r="Y35" s="5">
        <v>2</v>
      </c>
      <c r="Z35" s="5">
        <v>1</v>
      </c>
      <c r="AA35" s="5">
        <v>1</v>
      </c>
      <c r="AB35" s="5">
        <v>1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5">
        <v>0</v>
      </c>
      <c r="AN35" s="15">
        <f t="shared" si="0"/>
        <v>2328</v>
      </c>
      <c r="AO35" s="5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0"/>
      <c r="BD35" s="10"/>
      <c r="BE35" s="10"/>
      <c r="BF35" s="10"/>
      <c r="BG35" s="10"/>
      <c r="BH35" s="10"/>
      <c r="BI35" s="10"/>
      <c r="BJ35" s="10"/>
      <c r="BK35" s="10"/>
    </row>
    <row r="36" spans="1:63" x14ac:dyDescent="0.25">
      <c r="A36" s="4">
        <v>8</v>
      </c>
      <c r="B36" s="4">
        <v>24</v>
      </c>
      <c r="C36" s="4">
        <v>2023</v>
      </c>
      <c r="D36" s="4">
        <v>7</v>
      </c>
      <c r="E36" s="4" t="s">
        <v>42</v>
      </c>
      <c r="F36" s="4" t="s">
        <v>55</v>
      </c>
      <c r="G36" s="4">
        <v>1</v>
      </c>
      <c r="H36" s="5">
        <v>1729</v>
      </c>
      <c r="I36" s="5">
        <v>395</v>
      </c>
      <c r="J36" s="5">
        <v>78</v>
      </c>
      <c r="K36" s="5">
        <v>21</v>
      </c>
      <c r="L36" s="5">
        <v>16</v>
      </c>
      <c r="M36" s="5">
        <v>9</v>
      </c>
      <c r="N36" s="5">
        <v>15</v>
      </c>
      <c r="O36" s="5">
        <v>7</v>
      </c>
      <c r="P36" s="5">
        <v>4</v>
      </c>
      <c r="Q36" s="5">
        <v>2</v>
      </c>
      <c r="R36" s="5">
        <v>6</v>
      </c>
      <c r="S36" s="5">
        <v>3</v>
      </c>
      <c r="T36" s="5">
        <v>4</v>
      </c>
      <c r="U36" s="5">
        <v>1</v>
      </c>
      <c r="V36" s="5">
        <v>1</v>
      </c>
      <c r="W36" s="5">
        <v>2</v>
      </c>
      <c r="X36" s="5">
        <v>2</v>
      </c>
      <c r="Y36" s="5">
        <v>1</v>
      </c>
      <c r="Z36" s="5">
        <v>2</v>
      </c>
      <c r="AA36" s="5">
        <v>1</v>
      </c>
      <c r="AB36" s="5">
        <v>0</v>
      </c>
      <c r="AC36" s="5">
        <v>1</v>
      </c>
      <c r="AD36" s="5">
        <v>0</v>
      </c>
      <c r="AE36" s="5">
        <v>0</v>
      </c>
      <c r="AF36" s="5">
        <v>1</v>
      </c>
      <c r="AG36" s="5">
        <v>0</v>
      </c>
      <c r="AH36" s="5">
        <v>0</v>
      </c>
      <c r="AI36" s="5">
        <v>0</v>
      </c>
      <c r="AJ36" s="5">
        <v>0</v>
      </c>
      <c r="AK36" s="5">
        <v>0</v>
      </c>
      <c r="AL36" s="5">
        <v>0</v>
      </c>
      <c r="AM36" s="5">
        <v>0</v>
      </c>
      <c r="AN36" s="15">
        <f t="shared" si="0"/>
        <v>2301</v>
      </c>
      <c r="AO36" s="5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0"/>
      <c r="BD36" s="10"/>
      <c r="BE36" s="10"/>
      <c r="BF36" s="10"/>
      <c r="BG36" s="10"/>
      <c r="BH36" s="10"/>
      <c r="BI36" s="10"/>
      <c r="BJ36" s="10"/>
      <c r="BK36" s="10"/>
    </row>
    <row r="37" spans="1:63" x14ac:dyDescent="0.25">
      <c r="A37" s="5">
        <v>9</v>
      </c>
      <c r="B37" s="5">
        <v>12</v>
      </c>
      <c r="C37" s="4">
        <v>2023</v>
      </c>
      <c r="D37" s="5">
        <v>8</v>
      </c>
      <c r="E37" s="4" t="s">
        <v>44</v>
      </c>
      <c r="F37" s="5" t="s">
        <v>56</v>
      </c>
      <c r="G37" s="5">
        <v>1</v>
      </c>
      <c r="H37" s="5">
        <v>1747</v>
      </c>
      <c r="I37" s="5">
        <v>580</v>
      </c>
      <c r="J37" s="5">
        <v>88</v>
      </c>
      <c r="K37" s="5">
        <v>18</v>
      </c>
      <c r="L37" s="5">
        <v>13</v>
      </c>
      <c r="M37" s="5">
        <v>12</v>
      </c>
      <c r="N37" s="5">
        <v>4</v>
      </c>
      <c r="O37" s="5">
        <v>2</v>
      </c>
      <c r="P37" s="5">
        <v>3</v>
      </c>
      <c r="Q37" s="5">
        <v>1</v>
      </c>
      <c r="R37" s="5">
        <v>0</v>
      </c>
      <c r="S37" s="5">
        <v>0</v>
      </c>
      <c r="T37" s="5">
        <v>3</v>
      </c>
      <c r="U37" s="5">
        <v>0</v>
      </c>
      <c r="V37" s="5">
        <v>2</v>
      </c>
      <c r="W37" s="5">
        <v>1</v>
      </c>
      <c r="X37" s="5">
        <v>0</v>
      </c>
      <c r="Y37" s="5">
        <v>4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1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15">
        <f t="shared" si="0"/>
        <v>2479</v>
      </c>
      <c r="AO37" s="5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0"/>
      <c r="BD37" s="10"/>
      <c r="BE37" s="10"/>
      <c r="BF37" s="10"/>
      <c r="BG37" s="10"/>
      <c r="BH37" s="10"/>
      <c r="BI37" s="10"/>
      <c r="BJ37" s="10"/>
      <c r="BK37" s="10"/>
    </row>
    <row r="38" spans="1:63" x14ac:dyDescent="0.25">
      <c r="A38" s="5">
        <v>9</v>
      </c>
      <c r="B38" s="5">
        <v>13</v>
      </c>
      <c r="C38" s="4">
        <v>2023</v>
      </c>
      <c r="D38" s="5">
        <v>8</v>
      </c>
      <c r="E38" s="4" t="s">
        <v>45</v>
      </c>
      <c r="F38" s="5" t="s">
        <v>56</v>
      </c>
      <c r="G38" s="5">
        <v>1</v>
      </c>
      <c r="H38" s="5">
        <v>1651</v>
      </c>
      <c r="I38" s="5">
        <v>486</v>
      </c>
      <c r="J38" s="5">
        <v>67</v>
      </c>
      <c r="K38" s="5">
        <v>16</v>
      </c>
      <c r="L38" s="5">
        <v>10</v>
      </c>
      <c r="M38" s="5">
        <v>8</v>
      </c>
      <c r="N38" s="5">
        <v>6</v>
      </c>
      <c r="O38" s="5">
        <v>5</v>
      </c>
      <c r="P38" s="5">
        <v>3</v>
      </c>
      <c r="Q38" s="5">
        <v>6</v>
      </c>
      <c r="R38" s="5">
        <v>0</v>
      </c>
      <c r="S38" s="5">
        <v>2</v>
      </c>
      <c r="T38" s="5">
        <v>2</v>
      </c>
      <c r="U38" s="5">
        <v>1</v>
      </c>
      <c r="V38" s="5">
        <v>2</v>
      </c>
      <c r="W38" s="5">
        <v>1</v>
      </c>
      <c r="X38" s="5">
        <v>1</v>
      </c>
      <c r="Y38" s="5">
        <v>0</v>
      </c>
      <c r="Z38" s="5">
        <v>0</v>
      </c>
      <c r="AA38" s="5">
        <v>0</v>
      </c>
      <c r="AB38" s="5">
        <v>0</v>
      </c>
      <c r="AC38" s="5">
        <v>1</v>
      </c>
      <c r="AD38" s="5">
        <v>1</v>
      </c>
      <c r="AE38" s="5">
        <v>2</v>
      </c>
      <c r="AF38" s="5">
        <v>0</v>
      </c>
      <c r="AG38" s="5">
        <v>0</v>
      </c>
      <c r="AH38" s="5">
        <v>0</v>
      </c>
      <c r="AI38" s="5">
        <v>0</v>
      </c>
      <c r="AJ38" s="5">
        <v>0</v>
      </c>
      <c r="AK38" s="5">
        <v>0</v>
      </c>
      <c r="AL38" s="5">
        <v>0</v>
      </c>
      <c r="AM38" s="5">
        <v>1</v>
      </c>
      <c r="AN38" s="15">
        <f t="shared" si="0"/>
        <v>2272</v>
      </c>
      <c r="AO38" s="5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0"/>
      <c r="BD38" s="10"/>
      <c r="BE38" s="10"/>
      <c r="BF38" s="10"/>
      <c r="BG38" s="10"/>
      <c r="BH38" s="10"/>
      <c r="BI38" s="10"/>
      <c r="BJ38" s="10"/>
      <c r="BK38" s="10"/>
    </row>
    <row r="39" spans="1:63" x14ac:dyDescent="0.25">
      <c r="A39" s="5">
        <v>9</v>
      </c>
      <c r="B39" s="5">
        <v>14</v>
      </c>
      <c r="C39" s="4">
        <v>2023</v>
      </c>
      <c r="D39" s="5">
        <v>8</v>
      </c>
      <c r="E39" s="4" t="s">
        <v>46</v>
      </c>
      <c r="F39" s="5" t="s">
        <v>56</v>
      </c>
      <c r="G39" s="5">
        <v>1</v>
      </c>
      <c r="H39" s="5">
        <v>2130</v>
      </c>
      <c r="I39" s="5">
        <v>417</v>
      </c>
      <c r="J39" s="5">
        <v>59</v>
      </c>
      <c r="K39" s="5">
        <v>22</v>
      </c>
      <c r="L39" s="5">
        <v>8</v>
      </c>
      <c r="M39" s="5">
        <v>5</v>
      </c>
      <c r="N39" s="5">
        <v>3</v>
      </c>
      <c r="O39" s="5">
        <v>1</v>
      </c>
      <c r="P39" s="5">
        <v>1</v>
      </c>
      <c r="Q39" s="5">
        <v>1</v>
      </c>
      <c r="R39" s="5">
        <v>0</v>
      </c>
      <c r="S39" s="5">
        <v>0</v>
      </c>
      <c r="T39" s="5">
        <v>0</v>
      </c>
      <c r="U39" s="5">
        <v>1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5">
        <v>0</v>
      </c>
      <c r="AI39" s="5">
        <v>0</v>
      </c>
      <c r="AJ39" s="5">
        <v>0</v>
      </c>
      <c r="AK39" s="5">
        <v>0</v>
      </c>
      <c r="AL39" s="5">
        <v>0</v>
      </c>
      <c r="AM39" s="5">
        <v>0</v>
      </c>
      <c r="AN39" s="15">
        <f t="shared" si="0"/>
        <v>2648</v>
      </c>
      <c r="AO39" s="5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0"/>
      <c r="BD39" s="10"/>
      <c r="BE39" s="10"/>
      <c r="BF39" s="10"/>
      <c r="BG39" s="10"/>
      <c r="BH39" s="10"/>
      <c r="BI39" s="10"/>
      <c r="BJ39" s="10"/>
      <c r="BK39" s="10"/>
    </row>
    <row r="40" spans="1:63" x14ac:dyDescent="0.25">
      <c r="A40" s="5">
        <v>9</v>
      </c>
      <c r="B40" s="5">
        <v>15</v>
      </c>
      <c r="C40" s="4">
        <v>2023</v>
      </c>
      <c r="D40" s="5">
        <v>8</v>
      </c>
      <c r="E40" s="4" t="s">
        <v>42</v>
      </c>
      <c r="F40" s="5" t="s">
        <v>56</v>
      </c>
      <c r="G40" s="5">
        <v>1</v>
      </c>
      <c r="H40" s="5">
        <v>1769</v>
      </c>
      <c r="I40" s="5">
        <v>382</v>
      </c>
      <c r="J40" s="5">
        <v>61</v>
      </c>
      <c r="K40" s="5">
        <v>9</v>
      </c>
      <c r="L40" s="5">
        <v>14</v>
      </c>
      <c r="M40" s="5">
        <v>14</v>
      </c>
      <c r="N40" s="5">
        <v>6</v>
      </c>
      <c r="O40" s="5">
        <v>11</v>
      </c>
      <c r="P40" s="5">
        <v>9</v>
      </c>
      <c r="Q40" s="5">
        <v>4</v>
      </c>
      <c r="R40" s="5">
        <v>7</v>
      </c>
      <c r="S40" s="5">
        <v>6</v>
      </c>
      <c r="T40" s="5">
        <v>2</v>
      </c>
      <c r="U40" s="5">
        <v>3</v>
      </c>
      <c r="V40" s="5">
        <v>2</v>
      </c>
      <c r="W40" s="5">
        <v>1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5">
        <v>0</v>
      </c>
      <c r="AN40" s="15">
        <f t="shared" si="0"/>
        <v>2300</v>
      </c>
      <c r="AO40" s="5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0"/>
      <c r="BD40" s="10"/>
      <c r="BE40" s="10"/>
      <c r="BF40" s="10"/>
      <c r="BG40" s="10"/>
      <c r="BH40" s="10"/>
      <c r="BI40" s="10"/>
      <c r="BJ40" s="10"/>
      <c r="BK40" s="10"/>
    </row>
    <row r="41" spans="1:63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0"/>
      <c r="BD41" s="10"/>
      <c r="BE41" s="10"/>
      <c r="BF41" s="10"/>
      <c r="BG41" s="10"/>
      <c r="BH41" s="10"/>
      <c r="BI41" s="10"/>
      <c r="BJ41" s="10"/>
      <c r="BK41" s="10"/>
    </row>
    <row r="42" spans="1:63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0"/>
      <c r="BD42" s="10"/>
      <c r="BE42" s="10"/>
      <c r="BF42" s="10"/>
      <c r="BG42" s="10"/>
      <c r="BH42" s="10"/>
      <c r="BI42" s="10"/>
      <c r="BJ42" s="10"/>
      <c r="BK42" s="10"/>
    </row>
    <row r="43" spans="1:63" x14ac:dyDescent="0.2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</row>
    <row r="44" spans="1:63" x14ac:dyDescent="0.2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</row>
    <row r="45" spans="1:63" x14ac:dyDescent="0.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</row>
    <row r="46" spans="1:63" x14ac:dyDescent="0.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</row>
    <row r="47" spans="1:63" x14ac:dyDescent="0.2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</row>
    <row r="48" spans="1:63" x14ac:dyDescent="0.2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</row>
    <row r="49" spans="1:63" x14ac:dyDescent="0.2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</row>
    <row r="50" spans="1:63" x14ac:dyDescent="0.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  <c r="BK50" s="10"/>
    </row>
    <row r="51" spans="1:63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  <c r="BK51" s="10"/>
    </row>
    <row r="52" spans="1:63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  <c r="BK52" s="10"/>
    </row>
    <row r="53" spans="1:63" x14ac:dyDescent="0.2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  <c r="BK53" s="10"/>
    </row>
    <row r="54" spans="1:63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  <c r="BK54" s="10"/>
    </row>
    <row r="55" spans="1:63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  <c r="BK55" s="10"/>
    </row>
    <row r="56" spans="1:63" x14ac:dyDescent="0.2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  <c r="BK56" s="10"/>
    </row>
    <row r="57" spans="1:63" x14ac:dyDescent="0.2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  <c r="BK57" s="10"/>
    </row>
    <row r="58" spans="1:63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  <c r="BK58" s="10"/>
    </row>
    <row r="59" spans="1:63" x14ac:dyDescent="0.2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  <c r="BK59" s="10"/>
    </row>
    <row r="60" spans="1:63" x14ac:dyDescent="0.2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  <c r="BK60" s="10"/>
    </row>
    <row r="61" spans="1:63" x14ac:dyDescent="0.2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  <c r="BI61" s="10"/>
      <c r="BJ61" s="10"/>
      <c r="BK61" s="10"/>
    </row>
    <row r="62" spans="1:63" x14ac:dyDescent="0.2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  <c r="BK62" s="10"/>
    </row>
    <row r="63" spans="1:63" x14ac:dyDescent="0.2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  <c r="BF63" s="10"/>
      <c r="BG63" s="10"/>
      <c r="BH63" s="10"/>
      <c r="BI63" s="10"/>
      <c r="BJ63" s="10"/>
      <c r="BK63" s="10"/>
    </row>
    <row r="64" spans="1:63" x14ac:dyDescent="0.2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0"/>
      <c r="BF64" s="10"/>
      <c r="BG64" s="10"/>
      <c r="BH64" s="10"/>
      <c r="BI64" s="10"/>
      <c r="BJ64" s="10"/>
      <c r="BK64" s="10"/>
    </row>
    <row r="65" spans="1:63" x14ac:dyDescent="0.2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  <c r="BH65" s="10"/>
      <c r="BI65" s="10"/>
      <c r="BJ65" s="10"/>
      <c r="BK65" s="10"/>
    </row>
    <row r="66" spans="1:63" x14ac:dyDescent="0.2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10"/>
      <c r="BF66" s="10"/>
      <c r="BG66" s="10"/>
      <c r="BH66" s="10"/>
      <c r="BI66" s="10"/>
      <c r="BJ66" s="10"/>
      <c r="BK66" s="10"/>
    </row>
    <row r="67" spans="1:63" x14ac:dyDescent="0.2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10"/>
      <c r="BF67" s="10"/>
      <c r="BG67" s="10"/>
      <c r="BH67" s="10"/>
      <c r="BI67" s="10"/>
      <c r="BJ67" s="10"/>
      <c r="BK67" s="10"/>
    </row>
    <row r="68" spans="1:63" x14ac:dyDescent="0.2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10"/>
      <c r="BF68" s="10"/>
      <c r="BG68" s="10"/>
      <c r="BH68" s="10"/>
      <c r="BI68" s="10"/>
      <c r="BJ68" s="10"/>
      <c r="BK68" s="10"/>
    </row>
    <row r="69" spans="1:63" x14ac:dyDescent="0.25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  <c r="BH69" s="10"/>
      <c r="BI69" s="10"/>
      <c r="BJ69" s="10"/>
      <c r="BK69" s="10"/>
    </row>
    <row r="70" spans="1:63" x14ac:dyDescent="0.2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/>
      <c r="BH70" s="10"/>
      <c r="BI70" s="10"/>
      <c r="BJ70" s="10"/>
      <c r="BK70" s="1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CC65492B2D2B45BDFD3C1876C8B7DF" ma:contentTypeVersion="18" ma:contentTypeDescription="Create a new document." ma:contentTypeScope="" ma:versionID="3aebea4a3e41779352d7b09fd8646cdd">
  <xsd:schema xmlns:xsd="http://www.w3.org/2001/XMLSchema" xmlns:xs="http://www.w3.org/2001/XMLSchema" xmlns:p="http://schemas.microsoft.com/office/2006/metadata/properties" xmlns:ns2="578c36e4-03ed-4671-a714-4b2eff8e64ad" xmlns:ns3="1c1509c2-8dc3-465d-82b1-58e4055cbad7" targetNamespace="http://schemas.microsoft.com/office/2006/metadata/properties" ma:root="true" ma:fieldsID="3e79ca31fceb6f96eec730198615e70c" ns2:_="" ns3:_="">
    <xsd:import namespace="578c36e4-03ed-4671-a714-4b2eff8e64ad"/>
    <xsd:import namespace="1c1509c2-8dc3-465d-82b1-58e4055cba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8c36e4-03ed-4671-a714-4b2eff8e64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3e20e570-3a27-4eff-9ea0-d3488a33fb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1509c2-8dc3-465d-82b1-58e4055cbad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48d2bcc-7c54-43b8-8cb1-c35a27c02400}" ma:internalName="TaxCatchAll" ma:showField="CatchAllData" ma:web="1c1509c2-8dc3-465d-82b1-58e4055cbad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78c36e4-03ed-4671-a714-4b2eff8e64ad">
      <Terms xmlns="http://schemas.microsoft.com/office/infopath/2007/PartnerControls"/>
    </lcf76f155ced4ddcb4097134ff3c332f>
    <TaxCatchAll xmlns="1c1509c2-8dc3-465d-82b1-58e4055cbad7" xsi:nil="true"/>
  </documentManagement>
</p:properties>
</file>

<file path=customXml/itemProps1.xml><?xml version="1.0" encoding="utf-8"?>
<ds:datastoreItem xmlns:ds="http://schemas.openxmlformats.org/officeDocument/2006/customXml" ds:itemID="{34EF6DF6-A803-4B9B-A6E5-59172806F4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8c36e4-03ed-4671-a714-4b2eff8e64ad"/>
    <ds:schemaRef ds:uri="1c1509c2-8dc3-465d-82b1-58e4055cba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FCE5F92-7A2A-4592-93C1-1F2644B6708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3F2FBEB-B0BD-4921-AD8A-64EB9A80CFC7}">
  <ds:schemaRefs>
    <ds:schemaRef ds:uri="http://schemas.openxmlformats.org/package/2006/metadata/core-properties"/>
    <ds:schemaRef ds:uri="http://purl.org/dc/dcmitype/"/>
    <ds:schemaRef ds:uri="http://purl.org/dc/elements/1.1/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purl.org/dc/terms/"/>
    <ds:schemaRef ds:uri="1c1509c2-8dc3-465d-82b1-58e4055cbad7"/>
    <ds:schemaRef ds:uri="578c36e4-03ed-4671-a714-4b2eff8e64a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Controls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Kevin Middleton</cp:lastModifiedBy>
  <cp:revision/>
  <dcterms:created xsi:type="dcterms:W3CDTF">2023-03-15T00:29:21Z</dcterms:created>
  <dcterms:modified xsi:type="dcterms:W3CDTF">2024-09-04T14:28:37Z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0x0101003ECC65492B2D2B45BDFD3C1876C8B7DF</vt:lpwstr>
  </property>
  <property fmtid="{D5CDD505-2E9C-101B-9397-08002B2CF9AE}" pid="3" name="MediaServiceImageTags">
    <vt:lpwstr/>
  </property>
</Properties>
</file>